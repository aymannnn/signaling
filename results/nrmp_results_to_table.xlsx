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research\active.projects\signaling_project\code\results\"/>
    </mc:Choice>
  </mc:AlternateContent>
  <xr:revisionPtr revIDLastSave="0" documentId="13_ncr:1_{318E61F0-17BC-4687-B6C0-054F930D4C16}" xr6:coauthVersionLast="47" xr6:coauthVersionMax="47" xr10:uidLastSave="{00000000-0000-0000-0000-000000000000}"/>
  <bookViews>
    <workbookView xWindow="-110" yWindow="-110" windowWidth="38620" windowHeight="21100" activeTab="1" xr2:uid="{1861FF0A-8415-4E55-9E1D-A497392191A9}"/>
  </bookViews>
  <sheets>
    <sheet name="nrmp_base" sheetId="1" r:id="rId1"/>
    <sheet name="nrmp_base_table" sheetId="3" r:id="rId2"/>
    <sheet name="sensitivity_analysis_tabl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 a="1"/>
  <c r="A3" i="3" s="1"/>
  <c r="B3" i="3" a="1"/>
  <c r="B3" i="3" s="1"/>
  <c r="C3" i="3" a="1"/>
  <c r="C3" i="3" s="1"/>
  <c r="D3" i="3" a="1"/>
  <c r="D3" i="3" s="1"/>
  <c r="E3" i="3" a="1"/>
  <c r="E3" i="3" s="1"/>
  <c r="F3" i="3" a="1"/>
  <c r="F3" i="3" s="1"/>
  <c r="G3" i="3" a="1"/>
  <c r="G3" i="3" s="1"/>
  <c r="A4" i="3" a="1"/>
  <c r="A4" i="3" s="1"/>
  <c r="B4" i="3" a="1"/>
  <c r="B4" i="3" s="1"/>
  <c r="C4" i="3" a="1"/>
  <c r="C4" i="3" s="1"/>
  <c r="D4" i="3" a="1"/>
  <c r="D4" i="3" s="1"/>
  <c r="E4" i="3" a="1"/>
  <c r="E4" i="3" s="1"/>
  <c r="F4" i="3" a="1"/>
  <c r="F4" i="3" s="1"/>
  <c r="G4" i="3" a="1"/>
  <c r="G4" i="3" s="1"/>
  <c r="A5" i="3" a="1"/>
  <c r="A5" i="3" s="1"/>
  <c r="B5" i="3" a="1"/>
  <c r="B5" i="3" s="1"/>
  <c r="C5" i="3" a="1"/>
  <c r="C5" i="3" s="1"/>
  <c r="D5" i="3" a="1"/>
  <c r="D5" i="3" s="1"/>
  <c r="E5" i="3" a="1"/>
  <c r="E5" i="3" s="1"/>
  <c r="F5" i="3" a="1"/>
  <c r="F5" i="3" s="1"/>
  <c r="G5" i="3" a="1"/>
  <c r="G5" i="3" s="1"/>
  <c r="A6" i="3" a="1"/>
  <c r="A6" i="3" s="1"/>
  <c r="B6" i="3" a="1"/>
  <c r="B6" i="3" s="1"/>
  <c r="C6" i="3" a="1"/>
  <c r="C6" i="3" s="1"/>
  <c r="D6" i="3" a="1"/>
  <c r="D6" i="3" s="1"/>
  <c r="E6" i="3" a="1"/>
  <c r="E6" i="3" s="1"/>
  <c r="F6" i="3" a="1"/>
  <c r="F6" i="3" s="1"/>
  <c r="G6" i="3" a="1"/>
  <c r="G6" i="3" s="1"/>
  <c r="A7" i="3" a="1"/>
  <c r="A7" i="3" s="1"/>
  <c r="B7" i="3" a="1"/>
  <c r="B7" i="3" s="1"/>
  <c r="C7" i="3" a="1"/>
  <c r="C7" i="3" s="1"/>
  <c r="D7" i="3" a="1"/>
  <c r="D7" i="3" s="1"/>
  <c r="E7" i="3" a="1"/>
  <c r="E7" i="3" s="1"/>
  <c r="F7" i="3" a="1"/>
  <c r="F7" i="3" s="1"/>
  <c r="G7" i="3" a="1"/>
  <c r="G7" i="3" s="1"/>
  <c r="A8" i="3" a="1"/>
  <c r="A8" i="3" s="1"/>
  <c r="B8" i="3" a="1"/>
  <c r="B8" i="3" s="1"/>
  <c r="C8" i="3" a="1"/>
  <c r="C8" i="3" s="1"/>
  <c r="D8" i="3" a="1"/>
  <c r="D8" i="3" s="1"/>
  <c r="E8" i="3" a="1"/>
  <c r="E8" i="3" s="1"/>
  <c r="F8" i="3" a="1"/>
  <c r="F8" i="3" s="1"/>
  <c r="G8" i="3" a="1"/>
  <c r="G8" i="3" s="1"/>
  <c r="A9" i="3" a="1"/>
  <c r="A9" i="3" s="1"/>
  <c r="B9" i="3" a="1"/>
  <c r="B9" i="3" s="1"/>
  <c r="C9" i="3" a="1"/>
  <c r="C9" i="3" s="1"/>
  <c r="D9" i="3" a="1"/>
  <c r="D9" i="3" s="1"/>
  <c r="E9" i="3" a="1"/>
  <c r="E9" i="3" s="1"/>
  <c r="F9" i="3" a="1"/>
  <c r="F9" i="3" s="1"/>
  <c r="G9" i="3" a="1"/>
  <c r="G9" i="3" s="1"/>
  <c r="A10" i="3" a="1"/>
  <c r="A10" i="3" s="1"/>
  <c r="B10" i="3" a="1"/>
  <c r="B10" i="3" s="1"/>
  <c r="C10" i="3" a="1"/>
  <c r="C10" i="3" s="1"/>
  <c r="D10" i="3" a="1"/>
  <c r="D10" i="3" s="1"/>
  <c r="E10" i="3" a="1"/>
  <c r="E10" i="3" s="1"/>
  <c r="F10" i="3" a="1"/>
  <c r="F10" i="3" s="1"/>
  <c r="G10" i="3" a="1"/>
  <c r="G10" i="3" s="1"/>
  <c r="A11" i="3" a="1"/>
  <c r="A11" i="3" s="1"/>
  <c r="B11" i="3" a="1"/>
  <c r="B11" i="3" s="1"/>
  <c r="C11" i="3" a="1"/>
  <c r="C11" i="3" s="1"/>
  <c r="D11" i="3" a="1"/>
  <c r="D11" i="3" s="1"/>
  <c r="E11" i="3" a="1"/>
  <c r="E11" i="3" s="1"/>
  <c r="F11" i="3" a="1"/>
  <c r="F11" i="3" s="1"/>
  <c r="G11" i="3" a="1"/>
  <c r="G11" i="3" s="1"/>
  <c r="A12" i="3" a="1"/>
  <c r="A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G12" i="3" a="1"/>
  <c r="G12" i="3" s="1"/>
  <c r="A13" i="3" a="1"/>
  <c r="A13" i="3" s="1"/>
  <c r="B13" i="3" a="1"/>
  <c r="B13" i="3" s="1"/>
  <c r="C13" i="3" a="1"/>
  <c r="C13" i="3" s="1"/>
  <c r="D13" i="3" a="1"/>
  <c r="D13" i="3" s="1"/>
  <c r="E13" i="3" a="1"/>
  <c r="E13" i="3" s="1"/>
  <c r="F13" i="3" a="1"/>
  <c r="F13" i="3" s="1"/>
  <c r="G13" i="3" a="1"/>
  <c r="G13" i="3" s="1"/>
  <c r="A14" i="3" a="1"/>
  <c r="A14" i="3" s="1"/>
  <c r="B14" i="3" a="1"/>
  <c r="B14" i="3" s="1"/>
  <c r="C14" i="3" a="1"/>
  <c r="C14" i="3" s="1"/>
  <c r="D14" i="3" a="1"/>
  <c r="D14" i="3" s="1"/>
  <c r="E14" i="3" a="1"/>
  <c r="E14" i="3" s="1"/>
  <c r="F14" i="3" a="1"/>
  <c r="F14" i="3" s="1"/>
  <c r="G14" i="3" a="1"/>
  <c r="G14" i="3" s="1"/>
  <c r="A15" i="3" a="1"/>
  <c r="A15" i="3" s="1"/>
  <c r="B15" i="3" a="1"/>
  <c r="B15" i="3" s="1"/>
  <c r="C15" i="3" a="1"/>
  <c r="C15" i="3" s="1"/>
  <c r="D15" i="3" a="1"/>
  <c r="D15" i="3" s="1"/>
  <c r="E15" i="3" a="1"/>
  <c r="E15" i="3" s="1"/>
  <c r="F15" i="3" a="1"/>
  <c r="F15" i="3" s="1"/>
  <c r="G15" i="3" a="1"/>
  <c r="G15" i="3" s="1"/>
  <c r="A16" i="3" a="1"/>
  <c r="A16" i="3" s="1"/>
  <c r="B16" i="3" a="1"/>
  <c r="B16" i="3" s="1"/>
  <c r="C16" i="3" a="1"/>
  <c r="C16" i="3" s="1"/>
  <c r="D16" i="3" a="1"/>
  <c r="D16" i="3" s="1"/>
  <c r="E16" i="3" a="1"/>
  <c r="E16" i="3" s="1"/>
  <c r="F16" i="3" a="1"/>
  <c r="F16" i="3" s="1"/>
  <c r="G16" i="3" a="1"/>
  <c r="G16" i="3" s="1"/>
  <c r="A17" i="3" a="1"/>
  <c r="A17" i="3" s="1"/>
  <c r="B17" i="3" a="1"/>
  <c r="B17" i="3" s="1"/>
  <c r="C17" i="3" a="1"/>
  <c r="C17" i="3" s="1"/>
  <c r="D17" i="3" a="1"/>
  <c r="D17" i="3" s="1"/>
  <c r="E17" i="3" a="1"/>
  <c r="E17" i="3" s="1"/>
  <c r="F17" i="3" a="1"/>
  <c r="F17" i="3" s="1"/>
  <c r="G17" i="3" a="1"/>
  <c r="G17" i="3" s="1"/>
  <c r="A18" i="3" a="1"/>
  <c r="A18" i="3" s="1"/>
  <c r="B18" i="3" a="1"/>
  <c r="B18" i="3" s="1"/>
  <c r="C18" i="3" a="1"/>
  <c r="C18" i="3" s="1"/>
  <c r="D18" i="3" a="1"/>
  <c r="D18" i="3" s="1"/>
  <c r="E18" i="3" a="1"/>
  <c r="E18" i="3" s="1"/>
  <c r="F18" i="3" a="1"/>
  <c r="F18" i="3" s="1"/>
  <c r="G18" i="3" a="1"/>
  <c r="G18" i="3" s="1"/>
  <c r="A19" i="3" a="1"/>
  <c r="A19" i="3" s="1"/>
  <c r="B19" i="3" a="1"/>
  <c r="B19" i="3" s="1"/>
  <c r="C19" i="3" a="1"/>
  <c r="C19" i="3" s="1"/>
  <c r="D19" i="3" a="1"/>
  <c r="D19" i="3" s="1"/>
  <c r="E19" i="3" a="1"/>
  <c r="E19" i="3" s="1"/>
  <c r="F19" i="3" a="1"/>
  <c r="F19" i="3" s="1"/>
  <c r="G19" i="3" a="1"/>
  <c r="G19" i="3" s="1"/>
  <c r="A20" i="3" a="1"/>
  <c r="A20" i="3" s="1"/>
  <c r="B20" i="3" a="1"/>
  <c r="B20" i="3" s="1"/>
  <c r="C20" i="3" a="1"/>
  <c r="C20" i="3" s="1"/>
  <c r="D20" i="3" a="1"/>
  <c r="D20" i="3" s="1"/>
  <c r="E20" i="3" a="1"/>
  <c r="E20" i="3" s="1"/>
  <c r="F20" i="3" a="1"/>
  <c r="F20" i="3" s="1"/>
  <c r="G20" i="3" a="1"/>
  <c r="G20" i="3" s="1"/>
  <c r="A21" i="3" a="1"/>
  <c r="A21" i="3" s="1"/>
  <c r="B21" i="3" a="1"/>
  <c r="B21" i="3" s="1"/>
  <c r="C21" i="3" a="1"/>
  <c r="C21" i="3" s="1"/>
  <c r="D21" i="3" a="1"/>
  <c r="D21" i="3" s="1"/>
  <c r="E21" i="3" a="1"/>
  <c r="E21" i="3" s="1"/>
  <c r="F21" i="3" a="1"/>
  <c r="F21" i="3" s="1"/>
  <c r="G21" i="3" a="1"/>
  <c r="G21" i="3" s="1"/>
  <c r="A22" i="3" a="1"/>
  <c r="A22" i="3" s="1"/>
  <c r="B22" i="3" a="1"/>
  <c r="B22" i="3" s="1"/>
  <c r="C22" i="3" a="1"/>
  <c r="C22" i="3" s="1"/>
  <c r="D22" i="3" a="1"/>
  <c r="D22" i="3" s="1"/>
  <c r="E22" i="3" a="1"/>
  <c r="E22" i="3" s="1"/>
  <c r="F22" i="3" a="1"/>
  <c r="F22" i="3" s="1"/>
  <c r="G22" i="3" a="1"/>
  <c r="G22" i="3" s="1"/>
  <c r="A23" i="3" a="1"/>
  <c r="A23" i="3" s="1"/>
  <c r="B23" i="3" a="1"/>
  <c r="B23" i="3" s="1"/>
  <c r="C23" i="3" a="1"/>
  <c r="C23" i="3" s="1"/>
  <c r="D23" i="3" a="1"/>
  <c r="D23" i="3" s="1"/>
  <c r="E23" i="3" a="1"/>
  <c r="E23" i="3" s="1"/>
  <c r="F23" i="3" a="1"/>
  <c r="F23" i="3" s="1"/>
  <c r="G23" i="3" a="1"/>
  <c r="G23" i="3" s="1"/>
  <c r="A24" i="3" a="1"/>
  <c r="A24" i="3" s="1"/>
  <c r="B24" i="3" a="1"/>
  <c r="B24" i="3" s="1"/>
  <c r="C24" i="3" a="1"/>
  <c r="C24" i="3" s="1"/>
  <c r="D24" i="3" a="1"/>
  <c r="D24" i="3" s="1"/>
  <c r="E24" i="3" a="1"/>
  <c r="E24" i="3" s="1"/>
  <c r="F24" i="3" a="1"/>
  <c r="F24" i="3" s="1"/>
  <c r="G24" i="3" a="1"/>
  <c r="G24" i="3" s="1"/>
  <c r="A25" i="3" a="1"/>
  <c r="A25" i="3" s="1"/>
  <c r="B25" i="3" a="1"/>
  <c r="B25" i="3" s="1"/>
  <c r="C25" i="3" a="1"/>
  <c r="C25" i="3" s="1"/>
  <c r="D25" i="3" a="1"/>
  <c r="D25" i="3" s="1"/>
  <c r="E25" i="3" a="1"/>
  <c r="E25" i="3" s="1"/>
  <c r="F25" i="3" a="1"/>
  <c r="F25" i="3" s="1"/>
  <c r="G25" i="3" a="1"/>
  <c r="G25" i="3" s="1"/>
  <c r="A26" i="3" a="1"/>
  <c r="A26" i="3" s="1"/>
  <c r="B26" i="3" a="1"/>
  <c r="B26" i="3" s="1"/>
  <c r="C26" i="3" a="1"/>
  <c r="C26" i="3" s="1"/>
  <c r="D26" i="3" a="1"/>
  <c r="D26" i="3" s="1"/>
  <c r="E26" i="3" a="1"/>
  <c r="E26" i="3" s="1"/>
  <c r="F26" i="3" a="1"/>
  <c r="F26" i="3" s="1"/>
  <c r="G26" i="3" a="1"/>
  <c r="G26" i="3" s="1"/>
  <c r="A27" i="3" a="1"/>
  <c r="A27" i="3" s="1"/>
  <c r="B27" i="3" a="1"/>
  <c r="B27" i="3" s="1"/>
  <c r="C27" i="3" a="1"/>
  <c r="C27" i="3" s="1"/>
  <c r="D27" i="3" a="1"/>
  <c r="D27" i="3" s="1"/>
  <c r="E27" i="3" a="1"/>
  <c r="E27" i="3" s="1"/>
  <c r="F27" i="3" a="1"/>
  <c r="F27" i="3" s="1"/>
  <c r="G27" i="3" a="1"/>
  <c r="G27" i="3" s="1"/>
  <c r="A28" i="3" a="1"/>
  <c r="A28" i="3" s="1"/>
  <c r="B28" i="3" a="1"/>
  <c r="B28" i="3" s="1"/>
  <c r="C28" i="3" a="1"/>
  <c r="C28" i="3" s="1"/>
  <c r="D28" i="3" a="1"/>
  <c r="D28" i="3" s="1"/>
  <c r="E28" i="3" a="1"/>
  <c r="E28" i="3" s="1"/>
  <c r="F28" i="3" a="1"/>
  <c r="F28" i="3" s="1"/>
  <c r="G28" i="3" a="1"/>
  <c r="G28" i="3" s="1"/>
  <c r="A29" i="3" a="1"/>
  <c r="A29" i="3" s="1"/>
  <c r="B29" i="3" a="1"/>
  <c r="B29" i="3" s="1"/>
  <c r="C29" i="3" a="1"/>
  <c r="C29" i="3" s="1"/>
  <c r="D29" i="3" a="1"/>
  <c r="D29" i="3" s="1"/>
  <c r="E29" i="3" a="1"/>
  <c r="E29" i="3" s="1"/>
  <c r="F29" i="3" a="1"/>
  <c r="F29" i="3" s="1"/>
  <c r="G29" i="3" a="1"/>
  <c r="G29" i="3" s="1"/>
  <c r="B2" i="3" a="1"/>
  <c r="B2" i="3" s="1"/>
  <c r="C2" i="3" a="1"/>
  <c r="C2" i="3" s="1"/>
  <c r="D2" i="3" a="1"/>
  <c r="D2" i="3" s="1"/>
  <c r="E2" i="3" a="1"/>
  <c r="E2" i="3" s="1"/>
  <c r="F2" i="3" a="1"/>
  <c r="F2" i="3" s="1"/>
  <c r="G2" i="3" a="1"/>
  <c r="G2" i="3" s="1"/>
  <c r="A2" i="3" a="1"/>
  <c r="A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<sst xmlns="http://schemas.openxmlformats.org/spreadsheetml/2006/main" count="110" uniqueCount="103">
  <si>
    <t>n_programs</t>
  </si>
  <si>
    <t>n_positions</t>
  </si>
  <si>
    <t>n_applicants</t>
  </si>
  <si>
    <t>interviews_per_spot</t>
  </si>
  <si>
    <t>max_applications</t>
  </si>
  <si>
    <t>applicants_per_position</t>
  </si>
  <si>
    <t>minimum_unmatched</t>
  </si>
  <si>
    <t>spots_per_program</t>
  </si>
  <si>
    <t>simulated_positions</t>
  </si>
  <si>
    <t>simulations_per_s</t>
  </si>
  <si>
    <t>study_min_signal</t>
  </si>
  <si>
    <t>study_max_signal</t>
  </si>
  <si>
    <t>result_file_prefix</t>
  </si>
  <si>
    <t>best_signal_rpp</t>
  </si>
  <si>
    <t>reviews_per_program_best_rpp</t>
  </si>
  <si>
    <t>unmatched_applicants_best_rpp</t>
  </si>
  <si>
    <t>unfilled_spots_best_rpp</t>
  </si>
  <si>
    <t>pct_interview_given_signal_best_rpp</t>
  </si>
  <si>
    <t>pct_interview_given_nosignal_best_rpp</t>
  </si>
  <si>
    <t>pct_interview_given_application_best_rpp</t>
  </si>
  <si>
    <t>pct_of_app_match_via_signal_given_matched_best_rpp</t>
  </si>
  <si>
    <t>best_signal_ua</t>
  </si>
  <si>
    <t>reviews_per_program_best_ua</t>
  </si>
  <si>
    <t>unmatched_applicants_best_ua</t>
  </si>
  <si>
    <t>unfilled_spots_best_ua</t>
  </si>
  <si>
    <t>pct_interview_given_signal_best_ua</t>
  </si>
  <si>
    <t>pct_interview_given_nosignal_best_ua</t>
  </si>
  <si>
    <t>pct_interview_given_application_best_ua</t>
  </si>
  <si>
    <t>pct_of_app_match_via_signal_given_matched_best_ua</t>
  </si>
  <si>
    <t>best_signal_ufs</t>
  </si>
  <si>
    <t>reviews_per_program_best_ufs</t>
  </si>
  <si>
    <t>unmatched_applicants_best_ufs</t>
  </si>
  <si>
    <t>unfilled_spots_best_ufs</t>
  </si>
  <si>
    <t>pct_interview_given_signal_best_ufs</t>
  </si>
  <si>
    <t>pct_interview_given_nosignal_best_ufs</t>
  </si>
  <si>
    <t>pct_interview_given_application_best_ufs</t>
  </si>
  <si>
    <t>pct_of_app_match_via_signal_given_matched_best_ufs</t>
  </si>
  <si>
    <t>best_signal_pigs</t>
  </si>
  <si>
    <t>reviews_per_program_best_pigs</t>
  </si>
  <si>
    <t>unmatched_applicants_best_pigs</t>
  </si>
  <si>
    <t>unfilled_spots_best_pigs</t>
  </si>
  <si>
    <t>pct_interview_given_signal_best_pigs</t>
  </si>
  <si>
    <t>pct_interview_given_nosignal_best_pigs</t>
  </si>
  <si>
    <t>pct_interview_given_application_best_pigs</t>
  </si>
  <si>
    <t>pct_of_app_match_via_signal_given_matched_best_pigs</t>
  </si>
  <si>
    <t>best_signal_pigns</t>
  </si>
  <si>
    <t>reviews_per_program_best_pigns</t>
  </si>
  <si>
    <t>unmatched_applicants_best_pigns</t>
  </si>
  <si>
    <t>unfilled_spots_best_pigns</t>
  </si>
  <si>
    <t>pct_interview_given_signal_best_pigns</t>
  </si>
  <si>
    <t>pct_interview_given_nosignal_best_pigns</t>
  </si>
  <si>
    <t>pct_interview_given_application_best_pigns</t>
  </si>
  <si>
    <t>pct_of_app_match_via_signal_given_matched_best_pigns</t>
  </si>
  <si>
    <t>best_signal_piga</t>
  </si>
  <si>
    <t>reviews_per_program_best_piga</t>
  </si>
  <si>
    <t>unmatched_applicants_best_piga</t>
  </si>
  <si>
    <t>unfilled_spots_best_piga</t>
  </si>
  <si>
    <t>pct_interview_given_signal_best_piga</t>
  </si>
  <si>
    <t>pct_interview_given_nosignal_best_piga</t>
  </si>
  <si>
    <t>pct_interview_given_application_best_piga</t>
  </si>
  <si>
    <t>pct_of_app_match_via_signal_given_matched_best_piga</t>
  </si>
  <si>
    <t>best_signal_pamgs</t>
  </si>
  <si>
    <t>reviews_per_program_best_pamgs</t>
  </si>
  <si>
    <t>unmatched_applicants_best_pamgs</t>
  </si>
  <si>
    <t>unfilled_spots_best_pamgs</t>
  </si>
  <si>
    <t>pct_interview_given_signal_best_pamgs</t>
  </si>
  <si>
    <t>pct_interview_given_nosignal_best_pamgs</t>
  </si>
  <si>
    <t>pct_interview_given_application_best_pamgs</t>
  </si>
  <si>
    <t>pct_of_app_match_via_signal_given_matched_best_pamgs</t>
  </si>
  <si>
    <t>Anesthesiology</t>
  </si>
  <si>
    <t>Child Neurology</t>
  </si>
  <si>
    <t>Dermatology</t>
  </si>
  <si>
    <t>Emergency Medicine</t>
  </si>
  <si>
    <t>Family Medicine</t>
  </si>
  <si>
    <t>Internal Medicine (Categorical)</t>
  </si>
  <si>
    <t>Medicine-Emergency Med</t>
  </si>
  <si>
    <t>Medicine-Pediatrics</t>
  </si>
  <si>
    <t>Medicine-Preliminary (PGY-1 Only)</t>
  </si>
  <si>
    <t>Medicine-Primary</t>
  </si>
  <si>
    <t>Interventional Radiology (Integrated)</t>
  </si>
  <si>
    <t>Neurological Surgery</t>
  </si>
  <si>
    <t>Neurology</t>
  </si>
  <si>
    <t>Obstetrics-Gynecology</t>
  </si>
  <si>
    <t>Orthopaedic Surgery</t>
  </si>
  <si>
    <t>Otolaryngology</t>
  </si>
  <si>
    <t>Pathology</t>
  </si>
  <si>
    <t>Pediatrics (Categorical)</t>
  </si>
  <si>
    <t>Pediatrics-Primary</t>
  </si>
  <si>
    <t>Physical Medicine &amp; Rehab</t>
  </si>
  <si>
    <t>Plastic Surgery (Integrated)</t>
  </si>
  <si>
    <t>Psychiatry</t>
  </si>
  <si>
    <t>Radiology-Diagnostic</t>
  </si>
  <si>
    <t>Surgery (Categorical)</t>
  </si>
  <si>
    <t>Surgery-Preliminary (PGY-1 Only)</t>
  </si>
  <si>
    <t>Thoracic Surgery</t>
  </si>
  <si>
    <t>Transitional (PGY-1 Only)</t>
  </si>
  <si>
    <t>Vascular Surgery</t>
  </si>
  <si>
    <t>NRMP_BASE</t>
  </si>
  <si>
    <t>NRMP_GAMMA</t>
  </si>
  <si>
    <t>NRMP Alone</t>
  </si>
  <si>
    <t>Randomized Maximum Applications (Gamma)</t>
  </si>
  <si>
    <t>Randomized Applications (not quartile)</t>
  </si>
  <si>
    <t>Randomized Maximum Applications and Distribution (not quartile)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</si>
</sst>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9" fontId="0" fillId="0" borderId="0" xfId="1" applyFont="1"/>
    <xf numFmtId="1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84E49-70DF-444E-9F83-90B1B983B920}">
  <dimension ref="A1:BQ33"/>
  <sheetViews>
    <sheetView workbookViewId="0">
      <selection activeCell="F21" sqref="F21"/>
    </sheetView>
  </sheetViews>
  <sheetFormatPr defaultRowHeight="14.5" x14ac:dyDescent="0.35"/>
  <cols>
    <col min="1" max="1" width="30.453125" bestFit="1" customWidth="1"/>
    <col min="2" max="2" width="10.26953125" bestFit="1" customWidth="1"/>
    <col min="3" max="3" width="10" bestFit="1" customWidth="1"/>
    <col min="4" max="4" width="11.1796875" bestFit="1" customWidth="1"/>
    <col min="5" max="5" width="17" bestFit="1" customWidth="1"/>
    <col min="6" max="6" width="15" bestFit="1" customWidth="1"/>
    <col min="7" max="7" width="20.1796875" bestFit="1" customWidth="1"/>
    <col min="8" max="8" width="18.54296875" bestFit="1" customWidth="1"/>
    <col min="9" max="9" width="16.453125" bestFit="1" customWidth="1"/>
    <col min="10" max="10" width="17.1796875" bestFit="1" customWidth="1"/>
    <col min="11" max="11" width="15.453125" bestFit="1" customWidth="1"/>
    <col min="12" max="12" width="14.54296875" bestFit="1" customWidth="1"/>
    <col min="13" max="13" width="15" bestFit="1" customWidth="1"/>
    <col min="14" max="14" width="13.453125" bestFit="1" customWidth="1"/>
    <col min="15" max="15" width="26.1796875" bestFit="1" customWidth="1"/>
    <col min="16" max="16" width="27.453125" bestFit="1" customWidth="1"/>
    <col min="17" max="17" width="20" bestFit="1" customWidth="1"/>
    <col min="18" max="18" width="30.453125" bestFit="1" customWidth="1"/>
    <col min="19" max="19" width="32.453125" bestFit="1" customWidth="1"/>
    <col min="20" max="20" width="34.7265625" bestFit="1" customWidth="1"/>
    <col min="21" max="21" width="45.81640625" bestFit="1" customWidth="1"/>
    <col min="22" max="22" width="12.7265625" bestFit="1" customWidth="1"/>
    <col min="23" max="23" width="25.453125" bestFit="1" customWidth="1"/>
    <col min="24" max="24" width="26.81640625" bestFit="1" customWidth="1"/>
    <col min="25" max="25" width="19.453125" bestFit="1" customWidth="1"/>
    <col min="26" max="26" width="29.7265625" bestFit="1" customWidth="1"/>
    <col min="27" max="27" width="31.7265625" bestFit="1" customWidth="1"/>
    <col min="28" max="28" width="34.1796875" bestFit="1" customWidth="1"/>
    <col min="29" max="29" width="45.1796875" bestFit="1" customWidth="1"/>
    <col min="30" max="30" width="13.26953125" bestFit="1" customWidth="1"/>
    <col min="31" max="31" width="25.81640625" bestFit="1" customWidth="1"/>
    <col min="32" max="32" width="27.26953125" bestFit="1" customWidth="1"/>
    <col min="33" max="33" width="19.81640625" bestFit="1" customWidth="1"/>
    <col min="34" max="34" width="30.1796875" bestFit="1" customWidth="1"/>
    <col min="35" max="35" width="32.1796875" bestFit="1" customWidth="1"/>
    <col min="36" max="36" width="34.54296875" bestFit="1" customWidth="1"/>
    <col min="37" max="37" width="45.7265625" bestFit="1" customWidth="1"/>
    <col min="38" max="38" width="14.1796875" bestFit="1" customWidth="1"/>
    <col min="39" max="39" width="26.7265625" bestFit="1" customWidth="1"/>
    <col min="40" max="40" width="28.1796875" bestFit="1" customWidth="1"/>
    <col min="41" max="41" width="20.54296875" bestFit="1" customWidth="1"/>
    <col min="42" max="42" width="31" bestFit="1" customWidth="1"/>
    <col min="43" max="43" width="33" bestFit="1" customWidth="1"/>
    <col min="44" max="44" width="35.453125" bestFit="1" customWidth="1"/>
    <col min="45" max="45" width="46.54296875" bestFit="1" customWidth="1"/>
    <col min="46" max="46" width="15.1796875" bestFit="1" customWidth="1"/>
    <col min="47" max="47" width="27.7265625" bestFit="1" customWidth="1"/>
    <col min="48" max="48" width="29.1796875" bestFit="1" customWidth="1"/>
    <col min="49" max="49" width="21.7265625" bestFit="1" customWidth="1"/>
    <col min="50" max="50" width="32" bestFit="1" customWidth="1"/>
    <col min="51" max="51" width="34.1796875" bestFit="1" customWidth="1"/>
    <col min="52" max="52" width="36.453125" bestFit="1" customWidth="1"/>
    <col min="53" max="53" width="47.54296875" bestFit="1" customWidth="1"/>
    <col min="54" max="54" width="14.1796875" bestFit="1" customWidth="1"/>
    <col min="55" max="55" width="26.81640625" bestFit="1" customWidth="1"/>
    <col min="56" max="56" width="28.1796875" bestFit="1" customWidth="1"/>
    <col min="57" max="57" width="20.7265625" bestFit="1" customWidth="1"/>
    <col min="58" max="58" width="31.1796875" bestFit="1" customWidth="1"/>
    <col min="59" max="59" width="33.1796875" bestFit="1" customWidth="1"/>
    <col min="60" max="60" width="35.453125" bestFit="1" customWidth="1"/>
    <col min="61" max="61" width="46.54296875" bestFit="1" customWidth="1"/>
    <col min="62" max="62" width="16.1796875" bestFit="1" customWidth="1"/>
    <col min="63" max="63" width="28.81640625" bestFit="1" customWidth="1"/>
    <col min="64" max="64" width="30.26953125" bestFit="1" customWidth="1"/>
    <col min="65" max="65" width="22.81640625" bestFit="1" customWidth="1"/>
    <col min="66" max="66" width="33.1796875" bestFit="1" customWidth="1"/>
    <col min="67" max="67" width="35.1796875" bestFit="1" customWidth="1"/>
    <col min="68" max="68" width="37.54296875" bestFit="1" customWidth="1"/>
    <col min="69" max="69" width="48.54296875" bestFit="1" customWidth="1"/>
  </cols>
  <sheetData>
    <row r="1" spans="1:69" x14ac:dyDescent="0.35">
      <c r="A1" t="s">
        <v>97</v>
      </c>
    </row>
    <row r="3" spans="1:69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  <c r="BO3" t="s">
        <v>66</v>
      </c>
      <c r="BP3" t="s">
        <v>67</v>
      </c>
      <c r="BQ3" t="s">
        <v>68</v>
      </c>
    </row>
    <row r="4" spans="1:69" x14ac:dyDescent="0.35">
      <c r="A4">
        <v>189</v>
      </c>
      <c r="B4">
        <v>1805</v>
      </c>
      <c r="C4">
        <v>3017</v>
      </c>
      <c r="D4">
        <v>12</v>
      </c>
      <c r="E4">
        <v>40</v>
      </c>
      <c r="F4">
        <v>1.7736625509999999</v>
      </c>
      <c r="G4">
        <v>1316</v>
      </c>
      <c r="H4">
        <v>9</v>
      </c>
      <c r="I4">
        <v>1701</v>
      </c>
      <c r="J4">
        <v>50</v>
      </c>
      <c r="K4">
        <v>0</v>
      </c>
      <c r="L4">
        <v>40</v>
      </c>
      <c r="M4" t="s">
        <v>69</v>
      </c>
      <c r="N4">
        <v>8</v>
      </c>
      <c r="O4">
        <v>143.81037037037001</v>
      </c>
      <c r="P4">
        <v>1316</v>
      </c>
      <c r="Q4">
        <v>0</v>
      </c>
      <c r="R4">
        <v>0.84469008949287305</v>
      </c>
      <c r="S4">
        <v>2.54391779913821E-4</v>
      </c>
      <c r="T4">
        <v>0.16914153132250501</v>
      </c>
      <c r="U4">
        <v>1</v>
      </c>
      <c r="V4">
        <v>3</v>
      </c>
      <c r="W4">
        <v>638.51851851851802</v>
      </c>
      <c r="X4">
        <v>1316</v>
      </c>
      <c r="Y4">
        <v>0</v>
      </c>
      <c r="Z4">
        <v>1</v>
      </c>
      <c r="AA4">
        <v>0.10177462845676299</v>
      </c>
      <c r="AB4">
        <v>0.16914153132250501</v>
      </c>
      <c r="AC4">
        <v>1</v>
      </c>
      <c r="AD4">
        <v>3</v>
      </c>
      <c r="AE4">
        <v>638.51851851851802</v>
      </c>
      <c r="AF4">
        <v>1316</v>
      </c>
      <c r="AG4">
        <v>0</v>
      </c>
      <c r="AH4">
        <v>1</v>
      </c>
      <c r="AI4">
        <v>0.10177462845676299</v>
      </c>
      <c r="AJ4">
        <v>0.16914153132250501</v>
      </c>
      <c r="AK4">
        <v>1</v>
      </c>
      <c r="AL4">
        <v>1</v>
      </c>
      <c r="AM4">
        <v>638.51851851851802</v>
      </c>
      <c r="AN4">
        <v>1318.12</v>
      </c>
      <c r="AO4">
        <v>2.12</v>
      </c>
      <c r="AP4">
        <v>1</v>
      </c>
      <c r="AQ4">
        <v>0.14783746802308201</v>
      </c>
      <c r="AR4">
        <v>0.16914153132250501</v>
      </c>
      <c r="AS4">
        <v>0.99684486683111395</v>
      </c>
      <c r="AT4">
        <v>0</v>
      </c>
      <c r="AU4">
        <v>638.51851851851802</v>
      </c>
      <c r="AV4">
        <v>1634.18</v>
      </c>
      <c r="AW4">
        <v>318.18</v>
      </c>
      <c r="AX4">
        <v>0</v>
      </c>
      <c r="AY4">
        <v>0.16914153132250501</v>
      </c>
      <c r="AZ4">
        <v>0.16914153132250501</v>
      </c>
      <c r="BA4">
        <v>0</v>
      </c>
      <c r="BB4">
        <v>0</v>
      </c>
      <c r="BC4">
        <v>638.51851851851802</v>
      </c>
      <c r="BD4">
        <v>1634.18</v>
      </c>
      <c r="BE4">
        <v>318.18</v>
      </c>
      <c r="BF4">
        <v>0</v>
      </c>
      <c r="BG4">
        <v>0.16914153132250501</v>
      </c>
      <c r="BH4">
        <v>0.16914153132250501</v>
      </c>
      <c r="BI4">
        <v>0</v>
      </c>
      <c r="BJ4">
        <v>3</v>
      </c>
      <c r="BK4">
        <v>638.51851851851802</v>
      </c>
      <c r="BL4">
        <v>1316</v>
      </c>
      <c r="BM4">
        <v>0</v>
      </c>
      <c r="BN4">
        <v>1</v>
      </c>
      <c r="BO4">
        <v>0.10177462845676299</v>
      </c>
      <c r="BP4">
        <v>0.16914153132250501</v>
      </c>
      <c r="BQ4">
        <v>1</v>
      </c>
    </row>
    <row r="5" spans="1:69" x14ac:dyDescent="0.35">
      <c r="A5">
        <v>78</v>
      </c>
      <c r="B5">
        <v>195</v>
      </c>
      <c r="C5">
        <v>286</v>
      </c>
      <c r="D5">
        <v>12</v>
      </c>
      <c r="E5">
        <v>40</v>
      </c>
      <c r="F5">
        <v>1.8333333329999999</v>
      </c>
      <c r="G5">
        <v>130</v>
      </c>
      <c r="H5">
        <v>2</v>
      </c>
      <c r="I5">
        <v>156</v>
      </c>
      <c r="J5">
        <v>50</v>
      </c>
      <c r="K5">
        <v>0</v>
      </c>
      <c r="L5">
        <v>40</v>
      </c>
      <c r="M5" t="s">
        <v>70</v>
      </c>
      <c r="N5">
        <v>9</v>
      </c>
      <c r="O5">
        <v>36.276410256410202</v>
      </c>
      <c r="P5">
        <v>130</v>
      </c>
      <c r="Q5">
        <v>0</v>
      </c>
      <c r="R5">
        <v>0.72560217560217499</v>
      </c>
      <c r="S5">
        <v>4.8499887209564602E-4</v>
      </c>
      <c r="T5">
        <v>0.163636363636363</v>
      </c>
      <c r="U5">
        <v>1</v>
      </c>
      <c r="V5">
        <v>4</v>
      </c>
      <c r="W5">
        <v>145.227692307692</v>
      </c>
      <c r="X5">
        <v>130</v>
      </c>
      <c r="Y5">
        <v>0</v>
      </c>
      <c r="Z5">
        <v>0.99924825174825105</v>
      </c>
      <c r="AA5">
        <v>7.0790598290598195E-2</v>
      </c>
      <c r="AB5">
        <v>0.163636363636363</v>
      </c>
      <c r="AC5">
        <v>1</v>
      </c>
      <c r="AD5">
        <v>4</v>
      </c>
      <c r="AE5">
        <v>145.227692307692</v>
      </c>
      <c r="AF5">
        <v>130</v>
      </c>
      <c r="AG5">
        <v>0</v>
      </c>
      <c r="AH5">
        <v>0.99924825174825105</v>
      </c>
      <c r="AI5">
        <v>7.0790598290598195E-2</v>
      </c>
      <c r="AJ5">
        <v>0.163636363636363</v>
      </c>
      <c r="AK5">
        <v>1</v>
      </c>
      <c r="AL5">
        <v>1</v>
      </c>
      <c r="AM5">
        <v>146.666666666666</v>
      </c>
      <c r="AN5">
        <v>132.22</v>
      </c>
      <c r="AO5">
        <v>2.2200000000000002</v>
      </c>
      <c r="AP5">
        <v>1</v>
      </c>
      <c r="AQ5">
        <v>0.14219114219114201</v>
      </c>
      <c r="AR5">
        <v>0.163636363636363</v>
      </c>
      <c r="AS5">
        <v>0.94387482931391398</v>
      </c>
      <c r="AT5">
        <v>0</v>
      </c>
      <c r="AU5">
        <v>146.666666666666</v>
      </c>
      <c r="AV5">
        <v>184.26</v>
      </c>
      <c r="AW5">
        <v>54.26</v>
      </c>
      <c r="AX5">
        <v>0</v>
      </c>
      <c r="AY5">
        <v>0.163636363636363</v>
      </c>
      <c r="AZ5">
        <v>0.163636363636363</v>
      </c>
      <c r="BA5">
        <v>0</v>
      </c>
      <c r="BB5">
        <v>0</v>
      </c>
      <c r="BC5">
        <v>146.666666666666</v>
      </c>
      <c r="BD5">
        <v>184.26</v>
      </c>
      <c r="BE5">
        <v>54.26</v>
      </c>
      <c r="BF5">
        <v>0</v>
      </c>
      <c r="BG5">
        <v>0.163636363636363</v>
      </c>
      <c r="BH5">
        <v>0.163636363636363</v>
      </c>
      <c r="BI5">
        <v>0</v>
      </c>
      <c r="BJ5">
        <v>4</v>
      </c>
      <c r="BK5">
        <v>145.227692307692</v>
      </c>
      <c r="BL5">
        <v>130</v>
      </c>
      <c r="BM5">
        <v>0</v>
      </c>
      <c r="BN5">
        <v>0.99924825174825105</v>
      </c>
      <c r="BO5">
        <v>7.0790598290598195E-2</v>
      </c>
      <c r="BP5">
        <v>0.163636363636363</v>
      </c>
      <c r="BQ5">
        <v>1</v>
      </c>
    </row>
    <row r="6" spans="1:69" x14ac:dyDescent="0.35">
      <c r="A6">
        <v>14</v>
      </c>
      <c r="B6">
        <v>30</v>
      </c>
      <c r="C6">
        <v>299</v>
      </c>
      <c r="D6">
        <v>12</v>
      </c>
      <c r="E6">
        <v>14</v>
      </c>
      <c r="F6">
        <v>10.67857143</v>
      </c>
      <c r="G6">
        <v>271</v>
      </c>
      <c r="H6">
        <v>2</v>
      </c>
      <c r="I6">
        <v>28</v>
      </c>
      <c r="J6">
        <v>50</v>
      </c>
      <c r="K6">
        <v>0</v>
      </c>
      <c r="L6">
        <v>11</v>
      </c>
      <c r="M6" t="s">
        <v>71</v>
      </c>
      <c r="N6">
        <v>2</v>
      </c>
      <c r="O6">
        <v>42.714285714285701</v>
      </c>
      <c r="P6">
        <v>271</v>
      </c>
      <c r="Q6">
        <v>0</v>
      </c>
      <c r="R6">
        <v>0.56187290969899595</v>
      </c>
      <c r="S6">
        <v>0</v>
      </c>
      <c r="T6">
        <v>8.0267558528428096E-2</v>
      </c>
      <c r="U6">
        <v>1</v>
      </c>
      <c r="V6">
        <v>1</v>
      </c>
      <c r="W6">
        <v>209.96</v>
      </c>
      <c r="X6">
        <v>271</v>
      </c>
      <c r="Y6">
        <v>0</v>
      </c>
      <c r="Z6">
        <v>0.95672240802675501</v>
      </c>
      <c r="AA6">
        <v>1.2847954720864399E-2</v>
      </c>
      <c r="AB6">
        <v>8.0267558528428096E-2</v>
      </c>
      <c r="AC6">
        <v>1</v>
      </c>
      <c r="AD6">
        <v>1</v>
      </c>
      <c r="AE6">
        <v>209.96</v>
      </c>
      <c r="AF6">
        <v>271</v>
      </c>
      <c r="AG6">
        <v>0</v>
      </c>
      <c r="AH6">
        <v>0.95672240802675501</v>
      </c>
      <c r="AI6">
        <v>1.2847954720864399E-2</v>
      </c>
      <c r="AJ6">
        <v>8.0267558528428096E-2</v>
      </c>
      <c r="AK6">
        <v>1</v>
      </c>
      <c r="AL6">
        <v>1</v>
      </c>
      <c r="AM6">
        <v>209.96</v>
      </c>
      <c r="AN6">
        <v>271</v>
      </c>
      <c r="AO6">
        <v>0</v>
      </c>
      <c r="AP6">
        <v>0.95672240802675501</v>
      </c>
      <c r="AQ6">
        <v>1.2847954720864399E-2</v>
      </c>
      <c r="AR6">
        <v>8.0267558528428096E-2</v>
      </c>
      <c r="AS6">
        <v>1</v>
      </c>
      <c r="AT6">
        <v>0</v>
      </c>
      <c r="AU6">
        <v>299</v>
      </c>
      <c r="AV6">
        <v>275</v>
      </c>
      <c r="AW6">
        <v>4</v>
      </c>
      <c r="AX6">
        <v>0</v>
      </c>
      <c r="AY6">
        <v>8.0267558528428096E-2</v>
      </c>
      <c r="AZ6">
        <v>8.0267558528428096E-2</v>
      </c>
      <c r="BA6">
        <v>0</v>
      </c>
      <c r="BB6">
        <v>0</v>
      </c>
      <c r="BC6">
        <v>299</v>
      </c>
      <c r="BD6">
        <v>275</v>
      </c>
      <c r="BE6">
        <v>4</v>
      </c>
      <c r="BF6">
        <v>0</v>
      </c>
      <c r="BG6">
        <v>8.0267558528428096E-2</v>
      </c>
      <c r="BH6">
        <v>8.0267558528428096E-2</v>
      </c>
      <c r="BI6">
        <v>0</v>
      </c>
      <c r="BJ6">
        <v>1</v>
      </c>
      <c r="BK6">
        <v>209.96</v>
      </c>
      <c r="BL6">
        <v>271</v>
      </c>
      <c r="BM6">
        <v>0</v>
      </c>
      <c r="BN6">
        <v>0.95672240802675501</v>
      </c>
      <c r="BO6">
        <v>1.2847954720864399E-2</v>
      </c>
      <c r="BP6">
        <v>8.0267558528428096E-2</v>
      </c>
      <c r="BQ6">
        <v>1</v>
      </c>
    </row>
    <row r="7" spans="1:69" x14ac:dyDescent="0.35">
      <c r="A7">
        <v>292</v>
      </c>
      <c r="B7">
        <v>3068</v>
      </c>
      <c r="C7">
        <v>3753</v>
      </c>
      <c r="D7">
        <v>12</v>
      </c>
      <c r="E7">
        <v>40</v>
      </c>
      <c r="F7">
        <v>1.285273973</v>
      </c>
      <c r="G7">
        <v>833</v>
      </c>
      <c r="H7">
        <v>10</v>
      </c>
      <c r="I7">
        <v>2920</v>
      </c>
      <c r="J7">
        <v>50</v>
      </c>
      <c r="K7">
        <v>0</v>
      </c>
      <c r="L7">
        <v>40</v>
      </c>
      <c r="M7" t="s">
        <v>72</v>
      </c>
      <c r="N7">
        <v>11</v>
      </c>
      <c r="O7">
        <v>150.07095890410901</v>
      </c>
      <c r="P7">
        <v>833</v>
      </c>
      <c r="Q7">
        <v>0</v>
      </c>
      <c r="R7">
        <v>0.84797277329651399</v>
      </c>
      <c r="S7">
        <v>3.0449203855306499E-4</v>
      </c>
      <c r="T7">
        <v>0.233413269384492</v>
      </c>
      <c r="U7">
        <v>1</v>
      </c>
      <c r="V7">
        <v>4</v>
      </c>
      <c r="W7">
        <v>514.10958904109498</v>
      </c>
      <c r="X7">
        <v>833</v>
      </c>
      <c r="Y7">
        <v>0</v>
      </c>
      <c r="Z7">
        <v>1</v>
      </c>
      <c r="AA7">
        <v>0.148236965982769</v>
      </c>
      <c r="AB7">
        <v>0.233413269384492</v>
      </c>
      <c r="AC7">
        <v>1</v>
      </c>
      <c r="AD7">
        <v>4</v>
      </c>
      <c r="AE7">
        <v>514.10958904109498</v>
      </c>
      <c r="AF7">
        <v>833</v>
      </c>
      <c r="AG7">
        <v>0</v>
      </c>
      <c r="AH7">
        <v>1</v>
      </c>
      <c r="AI7">
        <v>0.148236965982769</v>
      </c>
      <c r="AJ7">
        <v>0.233413269384492</v>
      </c>
      <c r="AK7">
        <v>1</v>
      </c>
      <c r="AL7">
        <v>1</v>
      </c>
      <c r="AM7">
        <v>514.10958904109498</v>
      </c>
      <c r="AN7">
        <v>860.56</v>
      </c>
      <c r="AO7">
        <v>27.56</v>
      </c>
      <c r="AP7">
        <v>1</v>
      </c>
      <c r="AQ7">
        <v>0.21375719936870999</v>
      </c>
      <c r="AR7">
        <v>0.233413269384492</v>
      </c>
      <c r="AS7">
        <v>0.97135942877349502</v>
      </c>
      <c r="AT7">
        <v>0</v>
      </c>
      <c r="AU7">
        <v>514.10958904109498</v>
      </c>
      <c r="AV7">
        <v>1376.2</v>
      </c>
      <c r="AW7">
        <v>543.20000000000005</v>
      </c>
      <c r="AX7">
        <v>0</v>
      </c>
      <c r="AY7">
        <v>0.233413269384492</v>
      </c>
      <c r="AZ7">
        <v>0.233413269384492</v>
      </c>
      <c r="BA7">
        <v>0</v>
      </c>
      <c r="BB7">
        <v>0</v>
      </c>
      <c r="BC7">
        <v>514.10958904109498</v>
      </c>
      <c r="BD7">
        <v>1376.2</v>
      </c>
      <c r="BE7">
        <v>543.20000000000005</v>
      </c>
      <c r="BF7">
        <v>0</v>
      </c>
      <c r="BG7">
        <v>0.233413269384492</v>
      </c>
      <c r="BH7">
        <v>0.233413269384492</v>
      </c>
      <c r="BI7">
        <v>0</v>
      </c>
      <c r="BJ7">
        <v>4</v>
      </c>
      <c r="BK7">
        <v>514.10958904109498</v>
      </c>
      <c r="BL7">
        <v>833</v>
      </c>
      <c r="BM7">
        <v>0</v>
      </c>
      <c r="BN7">
        <v>1</v>
      </c>
      <c r="BO7">
        <v>0.148236965982769</v>
      </c>
      <c r="BP7">
        <v>0.233413269384492</v>
      </c>
      <c r="BQ7">
        <v>1</v>
      </c>
    </row>
    <row r="8" spans="1:69" x14ac:dyDescent="0.35">
      <c r="A8">
        <v>817</v>
      </c>
      <c r="B8">
        <v>5357</v>
      </c>
      <c r="C8">
        <v>7337</v>
      </c>
      <c r="D8">
        <v>12</v>
      </c>
      <c r="E8">
        <v>40</v>
      </c>
      <c r="F8">
        <v>1.496736026</v>
      </c>
      <c r="G8">
        <v>2435</v>
      </c>
      <c r="H8">
        <v>6</v>
      </c>
      <c r="I8">
        <v>4902</v>
      </c>
      <c r="J8">
        <v>50</v>
      </c>
      <c r="K8">
        <v>0</v>
      </c>
      <c r="L8">
        <v>40</v>
      </c>
      <c r="M8" t="s">
        <v>73</v>
      </c>
      <c r="N8">
        <v>10</v>
      </c>
      <c r="O8">
        <v>95.951627906976697</v>
      </c>
      <c r="P8">
        <v>2435.04</v>
      </c>
      <c r="Q8">
        <v>0.04</v>
      </c>
      <c r="R8">
        <v>0.80083085729862302</v>
      </c>
      <c r="S8">
        <v>3.0457498523465498E-4</v>
      </c>
      <c r="T8">
        <v>0.200436145563581</v>
      </c>
      <c r="U8">
        <v>1</v>
      </c>
      <c r="V8">
        <v>5</v>
      </c>
      <c r="W8">
        <v>359.20115055079498</v>
      </c>
      <c r="X8">
        <v>2435</v>
      </c>
      <c r="Y8">
        <v>0</v>
      </c>
      <c r="Z8">
        <v>1</v>
      </c>
      <c r="AA8">
        <v>8.62127377869506E-2</v>
      </c>
      <c r="AB8">
        <v>0.200436145563581</v>
      </c>
      <c r="AC8">
        <v>1</v>
      </c>
      <c r="AD8">
        <v>5</v>
      </c>
      <c r="AE8">
        <v>359.20115055079498</v>
      </c>
      <c r="AF8">
        <v>2435</v>
      </c>
      <c r="AG8">
        <v>0</v>
      </c>
      <c r="AH8">
        <v>1</v>
      </c>
      <c r="AI8">
        <v>8.62127377869506E-2</v>
      </c>
      <c r="AJ8">
        <v>0.200436145563581</v>
      </c>
      <c r="AK8">
        <v>1</v>
      </c>
      <c r="AL8">
        <v>1</v>
      </c>
      <c r="AM8">
        <v>359.216646266829</v>
      </c>
      <c r="AN8">
        <v>2470.36</v>
      </c>
      <c r="AO8">
        <v>35.36</v>
      </c>
      <c r="AP8">
        <v>1</v>
      </c>
      <c r="AQ8">
        <v>0.17993450827033999</v>
      </c>
      <c r="AR8">
        <v>0.200436145563581</v>
      </c>
      <c r="AS8">
        <v>0.97329953616529796</v>
      </c>
      <c r="AT8">
        <v>0</v>
      </c>
      <c r="AU8">
        <v>359.216646266829</v>
      </c>
      <c r="AV8">
        <v>3337.76</v>
      </c>
      <c r="AW8">
        <v>902.76</v>
      </c>
      <c r="AX8">
        <v>0</v>
      </c>
      <c r="AY8">
        <v>0.200436145563581</v>
      </c>
      <c r="AZ8">
        <v>0.200436145563581</v>
      </c>
      <c r="BA8">
        <v>0</v>
      </c>
      <c r="BB8">
        <v>0</v>
      </c>
      <c r="BC8">
        <v>359.216646266829</v>
      </c>
      <c r="BD8">
        <v>3337.76</v>
      </c>
      <c r="BE8">
        <v>902.76</v>
      </c>
      <c r="BF8">
        <v>0</v>
      </c>
      <c r="BG8">
        <v>0.200436145563581</v>
      </c>
      <c r="BH8">
        <v>0.200436145563581</v>
      </c>
      <c r="BI8">
        <v>0</v>
      </c>
      <c r="BJ8">
        <v>4</v>
      </c>
      <c r="BK8">
        <v>359.20847001223899</v>
      </c>
      <c r="BL8">
        <v>2435.02</v>
      </c>
      <c r="BM8">
        <v>0.02</v>
      </c>
      <c r="BN8">
        <v>0.99999795556767002</v>
      </c>
      <c r="BO8">
        <v>0.111595944452016</v>
      </c>
      <c r="BP8">
        <v>0.200436145563581</v>
      </c>
      <c r="BQ8">
        <v>1</v>
      </c>
    </row>
    <row r="9" spans="1:69" x14ac:dyDescent="0.35">
      <c r="A9">
        <v>758</v>
      </c>
      <c r="B9">
        <v>10941</v>
      </c>
      <c r="C9">
        <v>17131</v>
      </c>
      <c r="D9">
        <v>12</v>
      </c>
      <c r="E9">
        <v>40</v>
      </c>
      <c r="F9">
        <v>1.614304561</v>
      </c>
      <c r="G9">
        <v>6519</v>
      </c>
      <c r="H9">
        <v>14</v>
      </c>
      <c r="I9">
        <v>10612</v>
      </c>
      <c r="J9">
        <v>50</v>
      </c>
      <c r="K9">
        <v>0</v>
      </c>
      <c r="L9">
        <v>40</v>
      </c>
      <c r="M9" t="s">
        <v>74</v>
      </c>
      <c r="N9">
        <v>9</v>
      </c>
      <c r="O9">
        <v>206.49390501319201</v>
      </c>
      <c r="P9">
        <v>6519</v>
      </c>
      <c r="Q9">
        <v>0</v>
      </c>
      <c r="R9">
        <v>0.82585228857366999</v>
      </c>
      <c r="S9" s="1">
        <v>2.8094700985385798E-5</v>
      </c>
      <c r="T9">
        <v>0.18583853832233899</v>
      </c>
      <c r="U9">
        <v>1</v>
      </c>
      <c r="V9">
        <v>3</v>
      </c>
      <c r="W9">
        <v>904.01055408970899</v>
      </c>
      <c r="X9">
        <v>6519</v>
      </c>
      <c r="Y9">
        <v>0</v>
      </c>
      <c r="Z9">
        <v>1</v>
      </c>
      <c r="AA9">
        <v>0.11982544683496101</v>
      </c>
      <c r="AB9">
        <v>0.18583853832233899</v>
      </c>
      <c r="AC9">
        <v>0.99999434602336901</v>
      </c>
      <c r="AD9">
        <v>3</v>
      </c>
      <c r="AE9">
        <v>904.01055408970899</v>
      </c>
      <c r="AF9">
        <v>6519</v>
      </c>
      <c r="AG9">
        <v>0</v>
      </c>
      <c r="AH9">
        <v>1</v>
      </c>
      <c r="AI9">
        <v>0.11982544683496101</v>
      </c>
      <c r="AJ9">
        <v>0.18583853832233899</v>
      </c>
      <c r="AK9">
        <v>0.99999434602336901</v>
      </c>
      <c r="AL9">
        <v>1</v>
      </c>
      <c r="AM9">
        <v>904.01055408970899</v>
      </c>
      <c r="AN9">
        <v>6526.92</v>
      </c>
      <c r="AO9">
        <v>7.92</v>
      </c>
      <c r="AP9">
        <v>1</v>
      </c>
      <c r="AQ9">
        <v>0.164962603407527</v>
      </c>
      <c r="AR9">
        <v>0.18583853832233899</v>
      </c>
      <c r="AS9">
        <v>0.99788756822610702</v>
      </c>
      <c r="AT9">
        <v>0</v>
      </c>
      <c r="AU9">
        <v>904.01055408970899</v>
      </c>
      <c r="AV9">
        <v>8496.5</v>
      </c>
      <c r="AW9">
        <v>1977.5</v>
      </c>
      <c r="AX9">
        <v>0</v>
      </c>
      <c r="AY9">
        <v>0.18583853832233899</v>
      </c>
      <c r="AZ9">
        <v>0.18583853832233899</v>
      </c>
      <c r="BA9">
        <v>0</v>
      </c>
      <c r="BB9">
        <v>0</v>
      </c>
      <c r="BC9">
        <v>904.01055408970899</v>
      </c>
      <c r="BD9">
        <v>8496.5</v>
      </c>
      <c r="BE9">
        <v>1977.5</v>
      </c>
      <c r="BF9">
        <v>0</v>
      </c>
      <c r="BG9">
        <v>0.18583853832233899</v>
      </c>
      <c r="BH9">
        <v>0.18583853832233899</v>
      </c>
      <c r="BI9">
        <v>0</v>
      </c>
      <c r="BJ9">
        <v>4</v>
      </c>
      <c r="BK9">
        <v>904.01055408970899</v>
      </c>
      <c r="BL9">
        <v>6519</v>
      </c>
      <c r="BM9">
        <v>0</v>
      </c>
      <c r="BN9">
        <v>1</v>
      </c>
      <c r="BO9">
        <v>9.5376153691488399E-2</v>
      </c>
      <c r="BP9">
        <v>0.18583853832233899</v>
      </c>
      <c r="BQ9">
        <v>1</v>
      </c>
    </row>
    <row r="10" spans="1:69" x14ac:dyDescent="0.35">
      <c r="A10">
        <v>13</v>
      </c>
      <c r="B10">
        <v>34</v>
      </c>
      <c r="C10">
        <v>110</v>
      </c>
      <c r="D10">
        <v>12</v>
      </c>
      <c r="E10">
        <v>13</v>
      </c>
      <c r="F10">
        <v>4.230769231</v>
      </c>
      <c r="G10">
        <v>84</v>
      </c>
      <c r="H10">
        <v>2</v>
      </c>
      <c r="I10">
        <v>26</v>
      </c>
      <c r="J10">
        <v>50</v>
      </c>
      <c r="K10">
        <v>0</v>
      </c>
      <c r="L10">
        <v>10</v>
      </c>
      <c r="M10" t="s">
        <v>75</v>
      </c>
      <c r="N10">
        <v>4</v>
      </c>
      <c r="O10">
        <v>36.021538461538398</v>
      </c>
      <c r="P10">
        <v>84</v>
      </c>
      <c r="Q10">
        <v>0</v>
      </c>
      <c r="R10">
        <v>0.70736363636363597</v>
      </c>
      <c r="S10">
        <v>7.67676767676767E-4</v>
      </c>
      <c r="T10">
        <v>0.218181818181818</v>
      </c>
      <c r="U10">
        <v>1</v>
      </c>
      <c r="V10">
        <v>1</v>
      </c>
      <c r="W10">
        <v>110</v>
      </c>
      <c r="X10">
        <v>84</v>
      </c>
      <c r="Y10">
        <v>0</v>
      </c>
      <c r="Z10">
        <v>1</v>
      </c>
      <c r="AA10">
        <v>0.15303030303030299</v>
      </c>
      <c r="AB10">
        <v>0.218181818181818</v>
      </c>
      <c r="AC10">
        <v>0.99923076923076903</v>
      </c>
      <c r="AD10">
        <v>1</v>
      </c>
      <c r="AE10">
        <v>110</v>
      </c>
      <c r="AF10">
        <v>84</v>
      </c>
      <c r="AG10">
        <v>0</v>
      </c>
      <c r="AH10">
        <v>1</v>
      </c>
      <c r="AI10">
        <v>0.15303030303030299</v>
      </c>
      <c r="AJ10">
        <v>0.218181818181818</v>
      </c>
      <c r="AK10">
        <v>0.99923076923076903</v>
      </c>
      <c r="AL10">
        <v>1</v>
      </c>
      <c r="AM10">
        <v>110</v>
      </c>
      <c r="AN10">
        <v>84</v>
      </c>
      <c r="AO10">
        <v>0</v>
      </c>
      <c r="AP10">
        <v>1</v>
      </c>
      <c r="AQ10">
        <v>0.15303030303030299</v>
      </c>
      <c r="AR10">
        <v>0.218181818181818</v>
      </c>
      <c r="AS10">
        <v>0.99923076923076903</v>
      </c>
      <c r="AT10">
        <v>0</v>
      </c>
      <c r="AU10">
        <v>110</v>
      </c>
      <c r="AV10">
        <v>86</v>
      </c>
      <c r="AW10">
        <v>2</v>
      </c>
      <c r="AX10">
        <v>0</v>
      </c>
      <c r="AY10">
        <v>0.218181818181818</v>
      </c>
      <c r="AZ10">
        <v>0.218181818181818</v>
      </c>
      <c r="BA10">
        <v>0</v>
      </c>
      <c r="BB10">
        <v>0</v>
      </c>
      <c r="BC10">
        <v>110</v>
      </c>
      <c r="BD10">
        <v>86</v>
      </c>
      <c r="BE10">
        <v>2</v>
      </c>
      <c r="BF10">
        <v>0</v>
      </c>
      <c r="BG10">
        <v>0.218181818181818</v>
      </c>
      <c r="BH10">
        <v>0.218181818181818</v>
      </c>
      <c r="BI10">
        <v>0</v>
      </c>
      <c r="BJ10">
        <v>2</v>
      </c>
      <c r="BK10">
        <v>109.078461538461</v>
      </c>
      <c r="BL10">
        <v>84</v>
      </c>
      <c r="BM10">
        <v>0</v>
      </c>
      <c r="BN10">
        <v>0.99972727272727202</v>
      </c>
      <c r="BO10">
        <v>7.6082644628099105E-2</v>
      </c>
      <c r="BP10">
        <v>0.218181818181818</v>
      </c>
      <c r="BQ10">
        <v>1</v>
      </c>
    </row>
    <row r="11" spans="1:69" x14ac:dyDescent="0.35">
      <c r="A11">
        <v>79</v>
      </c>
      <c r="B11">
        <v>398</v>
      </c>
      <c r="C11">
        <v>599</v>
      </c>
      <c r="D11">
        <v>12</v>
      </c>
      <c r="E11">
        <v>40</v>
      </c>
      <c r="F11">
        <v>1.516455696</v>
      </c>
      <c r="G11">
        <v>204</v>
      </c>
      <c r="H11">
        <v>5</v>
      </c>
      <c r="I11">
        <v>395</v>
      </c>
      <c r="J11">
        <v>50</v>
      </c>
      <c r="K11">
        <v>0</v>
      </c>
      <c r="L11">
        <v>40</v>
      </c>
      <c r="M11" t="s">
        <v>76</v>
      </c>
      <c r="N11">
        <v>10</v>
      </c>
      <c r="O11">
        <v>79.759999999999906</v>
      </c>
      <c r="P11">
        <v>204</v>
      </c>
      <c r="Q11">
        <v>0</v>
      </c>
      <c r="R11">
        <v>0.79069115191986605</v>
      </c>
      <c r="S11">
        <v>2.0923761825264301E-4</v>
      </c>
      <c r="T11">
        <v>0.197829716193656</v>
      </c>
      <c r="U11">
        <v>1</v>
      </c>
      <c r="V11">
        <v>4</v>
      </c>
      <c r="W11">
        <v>303.29113924050603</v>
      </c>
      <c r="X11">
        <v>204</v>
      </c>
      <c r="Y11">
        <v>0</v>
      </c>
      <c r="Z11">
        <v>1</v>
      </c>
      <c r="AA11">
        <v>0.108699684659617</v>
      </c>
      <c r="AB11">
        <v>0.197829716193656</v>
      </c>
      <c r="AC11">
        <v>1</v>
      </c>
      <c r="AD11">
        <v>4</v>
      </c>
      <c r="AE11">
        <v>303.29113924050603</v>
      </c>
      <c r="AF11">
        <v>204</v>
      </c>
      <c r="AG11">
        <v>0</v>
      </c>
      <c r="AH11">
        <v>1</v>
      </c>
      <c r="AI11">
        <v>0.108699684659617</v>
      </c>
      <c r="AJ11">
        <v>0.197829716193656</v>
      </c>
      <c r="AK11">
        <v>1</v>
      </c>
      <c r="AL11">
        <v>1</v>
      </c>
      <c r="AM11">
        <v>303.29113924050603</v>
      </c>
      <c r="AN11">
        <v>208.74</v>
      </c>
      <c r="AO11">
        <v>4.74</v>
      </c>
      <c r="AP11">
        <v>1</v>
      </c>
      <c r="AQ11">
        <v>0.177261247378108</v>
      </c>
      <c r="AR11">
        <v>0.197829716193656</v>
      </c>
      <c r="AS11">
        <v>0.97463071427873804</v>
      </c>
      <c r="AT11">
        <v>0</v>
      </c>
      <c r="AU11">
        <v>303.29113924050603</v>
      </c>
      <c r="AV11">
        <v>339.18</v>
      </c>
      <c r="AW11">
        <v>135.18</v>
      </c>
      <c r="AX11">
        <v>0</v>
      </c>
      <c r="AY11">
        <v>0.197829716193656</v>
      </c>
      <c r="AZ11">
        <v>0.197829716193656</v>
      </c>
      <c r="BA11">
        <v>0</v>
      </c>
      <c r="BB11">
        <v>0</v>
      </c>
      <c r="BC11">
        <v>303.29113924050603</v>
      </c>
      <c r="BD11">
        <v>339.18</v>
      </c>
      <c r="BE11">
        <v>135.18</v>
      </c>
      <c r="BF11">
        <v>0</v>
      </c>
      <c r="BG11">
        <v>0.197829716193656</v>
      </c>
      <c r="BH11">
        <v>0.197829716193656</v>
      </c>
      <c r="BI11">
        <v>0</v>
      </c>
      <c r="BJ11">
        <v>4</v>
      </c>
      <c r="BK11">
        <v>303.29113924050603</v>
      </c>
      <c r="BL11">
        <v>204</v>
      </c>
      <c r="BM11">
        <v>0</v>
      </c>
      <c r="BN11">
        <v>1</v>
      </c>
      <c r="BO11">
        <v>0.108699684659617</v>
      </c>
      <c r="BP11">
        <v>0.197829716193656</v>
      </c>
      <c r="BQ11">
        <v>1</v>
      </c>
    </row>
    <row r="12" spans="1:69" x14ac:dyDescent="0.35">
      <c r="A12">
        <v>329</v>
      </c>
      <c r="B12">
        <v>1600</v>
      </c>
      <c r="C12">
        <v>5964</v>
      </c>
      <c r="D12">
        <v>12</v>
      </c>
      <c r="E12">
        <v>40</v>
      </c>
      <c r="F12">
        <v>4.5319148939999998</v>
      </c>
      <c r="G12">
        <v>4648</v>
      </c>
      <c r="H12">
        <v>4</v>
      </c>
      <c r="I12">
        <v>1316</v>
      </c>
      <c r="J12">
        <v>50</v>
      </c>
      <c r="K12">
        <v>0</v>
      </c>
      <c r="L12">
        <v>40</v>
      </c>
      <c r="M12" t="s">
        <v>77</v>
      </c>
      <c r="N12">
        <v>4</v>
      </c>
      <c r="O12">
        <v>72.985896656534905</v>
      </c>
      <c r="P12">
        <v>4648</v>
      </c>
      <c r="Q12">
        <v>0</v>
      </c>
      <c r="R12">
        <v>0.66195087189805402</v>
      </c>
      <c r="S12" s="1">
        <v>2.3287875400551399E-6</v>
      </c>
      <c r="T12">
        <v>6.6197183098591503E-2</v>
      </c>
      <c r="U12">
        <v>1</v>
      </c>
      <c r="V12">
        <v>1</v>
      </c>
      <c r="W12">
        <v>725.10638297872299</v>
      </c>
      <c r="X12">
        <v>4648</v>
      </c>
      <c r="Y12">
        <v>0</v>
      </c>
      <c r="Z12">
        <v>1</v>
      </c>
      <c r="AA12">
        <v>4.22535211267605E-2</v>
      </c>
      <c r="AB12">
        <v>6.6197183098591503E-2</v>
      </c>
      <c r="AC12">
        <v>1</v>
      </c>
      <c r="AD12">
        <v>1</v>
      </c>
      <c r="AE12">
        <v>725.10638297872299</v>
      </c>
      <c r="AF12">
        <v>4648</v>
      </c>
      <c r="AG12">
        <v>0</v>
      </c>
      <c r="AH12">
        <v>1</v>
      </c>
      <c r="AI12">
        <v>4.22535211267605E-2</v>
      </c>
      <c r="AJ12">
        <v>6.6197183098591503E-2</v>
      </c>
      <c r="AK12">
        <v>1</v>
      </c>
      <c r="AL12">
        <v>1</v>
      </c>
      <c r="AM12">
        <v>725.10638297872299</v>
      </c>
      <c r="AN12">
        <v>4648</v>
      </c>
      <c r="AO12">
        <v>0</v>
      </c>
      <c r="AP12">
        <v>1</v>
      </c>
      <c r="AQ12">
        <v>4.22535211267605E-2</v>
      </c>
      <c r="AR12">
        <v>6.6197183098591503E-2</v>
      </c>
      <c r="AS12">
        <v>1</v>
      </c>
      <c r="AT12">
        <v>0</v>
      </c>
      <c r="AU12">
        <v>725.10638297872299</v>
      </c>
      <c r="AV12">
        <v>4891.22</v>
      </c>
      <c r="AW12">
        <v>243.22</v>
      </c>
      <c r="AX12">
        <v>0</v>
      </c>
      <c r="AY12">
        <v>6.6197183098591503E-2</v>
      </c>
      <c r="AZ12">
        <v>6.6197183098591503E-2</v>
      </c>
      <c r="BA12">
        <v>0</v>
      </c>
      <c r="BB12">
        <v>0</v>
      </c>
      <c r="BC12">
        <v>725.10638297872299</v>
      </c>
      <c r="BD12">
        <v>4891.22</v>
      </c>
      <c r="BE12">
        <v>243.22</v>
      </c>
      <c r="BF12">
        <v>0</v>
      </c>
      <c r="BG12">
        <v>6.6197183098591503E-2</v>
      </c>
      <c r="BH12">
        <v>6.6197183098591503E-2</v>
      </c>
      <c r="BI12">
        <v>0</v>
      </c>
      <c r="BJ12">
        <v>1</v>
      </c>
      <c r="BK12">
        <v>725.10638297872299</v>
      </c>
      <c r="BL12">
        <v>4648</v>
      </c>
      <c r="BM12">
        <v>0</v>
      </c>
      <c r="BN12">
        <v>1</v>
      </c>
      <c r="BO12">
        <v>4.22535211267605E-2</v>
      </c>
      <c r="BP12">
        <v>6.6197183098591503E-2</v>
      </c>
      <c r="BQ12">
        <v>1</v>
      </c>
    </row>
    <row r="13" spans="1:69" x14ac:dyDescent="0.35">
      <c r="A13">
        <v>91</v>
      </c>
      <c r="B13">
        <v>411</v>
      </c>
      <c r="C13">
        <v>2134</v>
      </c>
      <c r="D13">
        <v>12</v>
      </c>
      <c r="E13">
        <v>40</v>
      </c>
      <c r="F13">
        <v>5.8626373630000002</v>
      </c>
      <c r="G13">
        <v>1770</v>
      </c>
      <c r="H13">
        <v>4</v>
      </c>
      <c r="I13">
        <v>364</v>
      </c>
      <c r="J13">
        <v>50</v>
      </c>
      <c r="K13">
        <v>0</v>
      </c>
      <c r="L13">
        <v>40</v>
      </c>
      <c r="M13" t="s">
        <v>78</v>
      </c>
      <c r="N13">
        <v>3</v>
      </c>
      <c r="O13">
        <v>71.911648351648296</v>
      </c>
      <c r="P13">
        <v>1770</v>
      </c>
      <c r="Q13">
        <v>0</v>
      </c>
      <c r="R13">
        <v>0.68222118088097405</v>
      </c>
      <c r="S13" s="1">
        <v>5.3192836697991298E-6</v>
      </c>
      <c r="T13">
        <v>5.1171508903467597E-2</v>
      </c>
      <c r="U13">
        <v>1</v>
      </c>
      <c r="V13">
        <v>1</v>
      </c>
      <c r="W13">
        <v>938.02197802197804</v>
      </c>
      <c r="X13">
        <v>1770</v>
      </c>
      <c r="Y13">
        <v>0</v>
      </c>
      <c r="Z13">
        <v>1</v>
      </c>
      <c r="AA13">
        <v>2.68425732343258E-2</v>
      </c>
      <c r="AB13">
        <v>5.1171508903467597E-2</v>
      </c>
      <c r="AC13">
        <v>1</v>
      </c>
      <c r="AD13">
        <v>1</v>
      </c>
      <c r="AE13">
        <v>938.02197802197804</v>
      </c>
      <c r="AF13">
        <v>1770</v>
      </c>
      <c r="AG13">
        <v>0</v>
      </c>
      <c r="AH13">
        <v>1</v>
      </c>
      <c r="AI13">
        <v>2.68425732343258E-2</v>
      </c>
      <c r="AJ13">
        <v>5.1171508903467597E-2</v>
      </c>
      <c r="AK13">
        <v>1</v>
      </c>
      <c r="AL13">
        <v>1</v>
      </c>
      <c r="AM13">
        <v>938.02197802197804</v>
      </c>
      <c r="AN13">
        <v>1770</v>
      </c>
      <c r="AO13">
        <v>0</v>
      </c>
      <c r="AP13">
        <v>1</v>
      </c>
      <c r="AQ13">
        <v>2.68425732343258E-2</v>
      </c>
      <c r="AR13">
        <v>5.1171508903467597E-2</v>
      </c>
      <c r="AS13">
        <v>1</v>
      </c>
      <c r="AT13">
        <v>0</v>
      </c>
      <c r="AU13">
        <v>938.02197802197804</v>
      </c>
      <c r="AV13">
        <v>1882.02</v>
      </c>
      <c r="AW13">
        <v>112.02</v>
      </c>
      <c r="AX13">
        <v>0</v>
      </c>
      <c r="AY13">
        <v>5.1171508903467597E-2</v>
      </c>
      <c r="AZ13">
        <v>5.1171508903467597E-2</v>
      </c>
      <c r="BA13">
        <v>0</v>
      </c>
      <c r="BB13">
        <v>0</v>
      </c>
      <c r="BC13">
        <v>938.02197802197804</v>
      </c>
      <c r="BD13">
        <v>1882.02</v>
      </c>
      <c r="BE13">
        <v>112.02</v>
      </c>
      <c r="BF13">
        <v>0</v>
      </c>
      <c r="BG13">
        <v>5.1171508903467597E-2</v>
      </c>
      <c r="BH13">
        <v>5.1171508903467597E-2</v>
      </c>
      <c r="BI13">
        <v>0</v>
      </c>
      <c r="BJ13">
        <v>1</v>
      </c>
      <c r="BK13">
        <v>938.02197802197804</v>
      </c>
      <c r="BL13">
        <v>1770</v>
      </c>
      <c r="BM13">
        <v>0</v>
      </c>
      <c r="BN13">
        <v>1</v>
      </c>
      <c r="BO13">
        <v>2.68425732343258E-2</v>
      </c>
      <c r="BP13">
        <v>5.1171508903467597E-2</v>
      </c>
      <c r="BQ13">
        <v>1</v>
      </c>
    </row>
    <row r="14" spans="1:69" x14ac:dyDescent="0.35">
      <c r="A14">
        <v>27</v>
      </c>
      <c r="B14">
        <v>52</v>
      </c>
      <c r="C14">
        <v>299</v>
      </c>
      <c r="D14">
        <v>12</v>
      </c>
      <c r="E14">
        <v>27</v>
      </c>
      <c r="F14">
        <v>11.07407407</v>
      </c>
      <c r="G14">
        <v>272</v>
      </c>
      <c r="H14">
        <v>1</v>
      </c>
      <c r="I14">
        <v>27</v>
      </c>
      <c r="J14">
        <v>50</v>
      </c>
      <c r="K14">
        <v>0</v>
      </c>
      <c r="L14">
        <v>24</v>
      </c>
      <c r="M14" t="s">
        <v>79</v>
      </c>
      <c r="N14">
        <v>2</v>
      </c>
      <c r="O14">
        <v>22.148148148148099</v>
      </c>
      <c r="P14">
        <v>272</v>
      </c>
      <c r="Q14">
        <v>0</v>
      </c>
      <c r="R14">
        <v>0.54180602006688905</v>
      </c>
      <c r="S14">
        <v>0</v>
      </c>
      <c r="T14">
        <v>4.0133779264213999E-2</v>
      </c>
      <c r="U14">
        <v>1</v>
      </c>
      <c r="V14">
        <v>1</v>
      </c>
      <c r="W14">
        <v>180.39185185185099</v>
      </c>
      <c r="X14">
        <v>272</v>
      </c>
      <c r="Y14">
        <v>0</v>
      </c>
      <c r="Z14">
        <v>0.92153846153846097</v>
      </c>
      <c r="AA14">
        <v>6.2335991767429799E-3</v>
      </c>
      <c r="AB14">
        <v>4.0133779264213999E-2</v>
      </c>
      <c r="AC14">
        <v>1</v>
      </c>
      <c r="AD14">
        <v>1</v>
      </c>
      <c r="AE14">
        <v>180.39185185185099</v>
      </c>
      <c r="AF14">
        <v>272</v>
      </c>
      <c r="AG14">
        <v>0</v>
      </c>
      <c r="AH14">
        <v>0.92153846153846097</v>
      </c>
      <c r="AI14">
        <v>6.2335991767429799E-3</v>
      </c>
      <c r="AJ14">
        <v>4.0133779264213999E-2</v>
      </c>
      <c r="AK14">
        <v>1</v>
      </c>
      <c r="AL14">
        <v>1</v>
      </c>
      <c r="AM14">
        <v>180.39185185185099</v>
      </c>
      <c r="AN14">
        <v>272</v>
      </c>
      <c r="AO14">
        <v>0</v>
      </c>
      <c r="AP14">
        <v>0.92153846153846097</v>
      </c>
      <c r="AQ14">
        <v>6.2335991767429799E-3</v>
      </c>
      <c r="AR14">
        <v>4.0133779264213999E-2</v>
      </c>
      <c r="AS14">
        <v>1</v>
      </c>
      <c r="AT14">
        <v>0</v>
      </c>
      <c r="AU14">
        <v>299</v>
      </c>
      <c r="AV14">
        <v>287</v>
      </c>
      <c r="AW14">
        <v>15</v>
      </c>
      <c r="AX14">
        <v>0</v>
      </c>
      <c r="AY14">
        <v>4.0133779264213999E-2</v>
      </c>
      <c r="AZ14">
        <v>4.0133779264213999E-2</v>
      </c>
      <c r="BA14">
        <v>0</v>
      </c>
      <c r="BB14">
        <v>0</v>
      </c>
      <c r="BC14">
        <v>299</v>
      </c>
      <c r="BD14">
        <v>287</v>
      </c>
      <c r="BE14">
        <v>15</v>
      </c>
      <c r="BF14">
        <v>0</v>
      </c>
      <c r="BG14">
        <v>4.0133779264213999E-2</v>
      </c>
      <c r="BH14">
        <v>4.0133779264213999E-2</v>
      </c>
      <c r="BI14">
        <v>0</v>
      </c>
      <c r="BJ14">
        <v>1</v>
      </c>
      <c r="BK14">
        <v>180.39185185185099</v>
      </c>
      <c r="BL14">
        <v>272</v>
      </c>
      <c r="BM14">
        <v>0</v>
      </c>
      <c r="BN14">
        <v>0.92153846153846097</v>
      </c>
      <c r="BO14">
        <v>6.2335991767429799E-3</v>
      </c>
      <c r="BP14">
        <v>4.0133779264213999E-2</v>
      </c>
      <c r="BQ14">
        <v>1</v>
      </c>
    </row>
    <row r="15" spans="1:69" x14ac:dyDescent="0.35">
      <c r="A15">
        <v>121</v>
      </c>
      <c r="B15">
        <v>268</v>
      </c>
      <c r="C15">
        <v>476</v>
      </c>
      <c r="D15">
        <v>12</v>
      </c>
      <c r="E15">
        <v>40</v>
      </c>
      <c r="F15">
        <v>1.9669421490000001</v>
      </c>
      <c r="G15">
        <v>234</v>
      </c>
      <c r="H15">
        <v>2</v>
      </c>
      <c r="I15">
        <v>242</v>
      </c>
      <c r="J15">
        <v>50</v>
      </c>
      <c r="K15">
        <v>0</v>
      </c>
      <c r="L15">
        <v>40</v>
      </c>
      <c r="M15" t="s">
        <v>80</v>
      </c>
      <c r="N15">
        <v>9</v>
      </c>
      <c r="O15">
        <v>36.7629752066115</v>
      </c>
      <c r="P15">
        <v>234</v>
      </c>
      <c r="Q15">
        <v>0</v>
      </c>
      <c r="R15">
        <v>0.67722222222222195</v>
      </c>
      <c r="S15">
        <v>1.8839793982108901E-4</v>
      </c>
      <c r="T15">
        <v>0.152521008403361</v>
      </c>
      <c r="U15">
        <v>1</v>
      </c>
      <c r="V15">
        <v>4</v>
      </c>
      <c r="W15">
        <v>153.98198347107399</v>
      </c>
      <c r="X15">
        <v>234</v>
      </c>
      <c r="Y15">
        <v>0</v>
      </c>
      <c r="Z15">
        <v>0.99811974789915903</v>
      </c>
      <c r="AA15">
        <v>5.8565592903828199E-2</v>
      </c>
      <c r="AB15">
        <v>0.152521008403361</v>
      </c>
      <c r="AC15">
        <v>1</v>
      </c>
      <c r="AD15">
        <v>4</v>
      </c>
      <c r="AE15">
        <v>153.98198347107399</v>
      </c>
      <c r="AF15">
        <v>234</v>
      </c>
      <c r="AG15">
        <v>0</v>
      </c>
      <c r="AH15">
        <v>0.99811974789915903</v>
      </c>
      <c r="AI15">
        <v>5.8565592903828199E-2</v>
      </c>
      <c r="AJ15">
        <v>0.152521008403361</v>
      </c>
      <c r="AK15">
        <v>1</v>
      </c>
      <c r="AL15">
        <v>1</v>
      </c>
      <c r="AM15">
        <v>157.35537190082599</v>
      </c>
      <c r="AN15">
        <v>236.02</v>
      </c>
      <c r="AO15">
        <v>2.02</v>
      </c>
      <c r="AP15">
        <v>1</v>
      </c>
      <c r="AQ15">
        <v>0.130790777849601</v>
      </c>
      <c r="AR15">
        <v>0.152521008403361</v>
      </c>
      <c r="AS15">
        <v>0.95075906804392496</v>
      </c>
      <c r="AT15">
        <v>0</v>
      </c>
      <c r="AU15">
        <v>157.35537190082599</v>
      </c>
      <c r="AV15">
        <v>280.45999999999998</v>
      </c>
      <c r="AW15">
        <v>46.46</v>
      </c>
      <c r="AX15">
        <v>0</v>
      </c>
      <c r="AY15">
        <v>0.152521008403361</v>
      </c>
      <c r="AZ15">
        <v>0.152521008403361</v>
      </c>
      <c r="BA15">
        <v>0</v>
      </c>
      <c r="BB15">
        <v>0</v>
      </c>
      <c r="BC15">
        <v>157.35537190082599</v>
      </c>
      <c r="BD15">
        <v>280.45999999999998</v>
      </c>
      <c r="BE15">
        <v>46.46</v>
      </c>
      <c r="BF15">
        <v>0</v>
      </c>
      <c r="BG15">
        <v>0.152521008403361</v>
      </c>
      <c r="BH15">
        <v>0.152521008403361</v>
      </c>
      <c r="BI15">
        <v>0</v>
      </c>
      <c r="BJ15">
        <v>4</v>
      </c>
      <c r="BK15">
        <v>153.98198347107399</v>
      </c>
      <c r="BL15">
        <v>234</v>
      </c>
      <c r="BM15">
        <v>0</v>
      </c>
      <c r="BN15">
        <v>0.99811974789915903</v>
      </c>
      <c r="BO15">
        <v>5.8565592903828199E-2</v>
      </c>
      <c r="BP15">
        <v>0.152521008403361</v>
      </c>
      <c r="BQ15">
        <v>1</v>
      </c>
    </row>
    <row r="16" spans="1:69" x14ac:dyDescent="0.35">
      <c r="A16">
        <v>159</v>
      </c>
      <c r="B16">
        <v>932</v>
      </c>
      <c r="C16">
        <v>1776</v>
      </c>
      <c r="D16">
        <v>12</v>
      </c>
      <c r="E16">
        <v>40</v>
      </c>
      <c r="F16">
        <v>2.2339622640000001</v>
      </c>
      <c r="G16">
        <v>981</v>
      </c>
      <c r="H16">
        <v>5</v>
      </c>
      <c r="I16">
        <v>795</v>
      </c>
      <c r="J16">
        <v>50</v>
      </c>
      <c r="K16">
        <v>0</v>
      </c>
      <c r="L16">
        <v>40</v>
      </c>
      <c r="M16" t="s">
        <v>81</v>
      </c>
      <c r="N16">
        <v>7</v>
      </c>
      <c r="O16">
        <v>82.048301886792402</v>
      </c>
      <c r="P16">
        <v>981</v>
      </c>
      <c r="Q16">
        <v>0</v>
      </c>
      <c r="R16">
        <v>0.76693854568854503</v>
      </c>
      <c r="S16" s="1">
        <v>9.2478842478842404E-5</v>
      </c>
      <c r="T16">
        <v>0.13429054054053999</v>
      </c>
      <c r="U16">
        <v>1</v>
      </c>
      <c r="V16">
        <v>2</v>
      </c>
      <c r="W16">
        <v>446.79245283018798</v>
      </c>
      <c r="X16">
        <v>981</v>
      </c>
      <c r="Y16">
        <v>0</v>
      </c>
      <c r="Z16">
        <v>1</v>
      </c>
      <c r="AA16">
        <v>8.8726884779516305E-2</v>
      </c>
      <c r="AB16">
        <v>0.13429054054053999</v>
      </c>
      <c r="AC16">
        <v>0.99997484276729498</v>
      </c>
      <c r="AD16">
        <v>2</v>
      </c>
      <c r="AE16">
        <v>446.79245283018798</v>
      </c>
      <c r="AF16">
        <v>981</v>
      </c>
      <c r="AG16">
        <v>0</v>
      </c>
      <c r="AH16">
        <v>1</v>
      </c>
      <c r="AI16">
        <v>8.8726884779516305E-2</v>
      </c>
      <c r="AJ16">
        <v>0.13429054054053999</v>
      </c>
      <c r="AK16">
        <v>0.99997484276729498</v>
      </c>
      <c r="AL16">
        <v>1</v>
      </c>
      <c r="AM16">
        <v>446.79245283018798</v>
      </c>
      <c r="AN16">
        <v>981.32</v>
      </c>
      <c r="AO16">
        <v>0.32</v>
      </c>
      <c r="AP16">
        <v>1</v>
      </c>
      <c r="AQ16">
        <v>0.112092862092862</v>
      </c>
      <c r="AR16">
        <v>0.13429054054053999</v>
      </c>
      <c r="AS16">
        <v>0.99718115209319602</v>
      </c>
      <c r="AT16">
        <v>0</v>
      </c>
      <c r="AU16">
        <v>446.79245283018798</v>
      </c>
      <c r="AV16">
        <v>1124.6400000000001</v>
      </c>
      <c r="AW16">
        <v>143.63999999999999</v>
      </c>
      <c r="AX16">
        <v>0</v>
      </c>
      <c r="AY16">
        <v>0.13429054054053999</v>
      </c>
      <c r="AZ16">
        <v>0.13429054054053999</v>
      </c>
      <c r="BA16">
        <v>0</v>
      </c>
      <c r="BB16">
        <v>0</v>
      </c>
      <c r="BC16">
        <v>446.79245283018798</v>
      </c>
      <c r="BD16">
        <v>1124.6400000000001</v>
      </c>
      <c r="BE16">
        <v>143.63999999999999</v>
      </c>
      <c r="BF16">
        <v>0</v>
      </c>
      <c r="BG16">
        <v>0.13429054054053999</v>
      </c>
      <c r="BH16">
        <v>0.13429054054053999</v>
      </c>
      <c r="BI16">
        <v>0</v>
      </c>
      <c r="BJ16">
        <v>3</v>
      </c>
      <c r="BK16">
        <v>446.79245283018798</v>
      </c>
      <c r="BL16">
        <v>981</v>
      </c>
      <c r="BM16">
        <v>0</v>
      </c>
      <c r="BN16">
        <v>1</v>
      </c>
      <c r="BO16">
        <v>6.4097881665449205E-2</v>
      </c>
      <c r="BP16">
        <v>0.13429054054053999</v>
      </c>
      <c r="BQ16">
        <v>1</v>
      </c>
    </row>
    <row r="17" spans="1:69" x14ac:dyDescent="0.35">
      <c r="A17">
        <v>295</v>
      </c>
      <c r="B17">
        <v>1587</v>
      </c>
      <c r="C17">
        <v>2151</v>
      </c>
      <c r="D17">
        <v>12</v>
      </c>
      <c r="E17">
        <v>40</v>
      </c>
      <c r="F17">
        <v>1.4583050849999999</v>
      </c>
      <c r="G17">
        <v>676</v>
      </c>
      <c r="H17">
        <v>5</v>
      </c>
      <c r="I17">
        <v>1475</v>
      </c>
      <c r="J17">
        <v>50</v>
      </c>
      <c r="K17">
        <v>0</v>
      </c>
      <c r="L17">
        <v>40</v>
      </c>
      <c r="M17" t="s">
        <v>82</v>
      </c>
      <c r="N17">
        <v>11</v>
      </c>
      <c r="O17">
        <v>81.575457627118595</v>
      </c>
      <c r="P17">
        <v>676.26</v>
      </c>
      <c r="Q17">
        <v>0.26</v>
      </c>
      <c r="R17">
        <v>0.74781792823633797</v>
      </c>
      <c r="S17" s="1">
        <v>9.42624921848699E-5</v>
      </c>
      <c r="T17">
        <v>0.20571827057182701</v>
      </c>
      <c r="U17">
        <v>1</v>
      </c>
      <c r="V17">
        <v>4</v>
      </c>
      <c r="W17">
        <v>291.66101694915199</v>
      </c>
      <c r="X17">
        <v>676</v>
      </c>
      <c r="Y17">
        <v>0</v>
      </c>
      <c r="Z17">
        <v>1</v>
      </c>
      <c r="AA17">
        <v>0.117464745079807</v>
      </c>
      <c r="AB17">
        <v>0.20571827057182701</v>
      </c>
      <c r="AC17">
        <v>1</v>
      </c>
      <c r="AD17">
        <v>4</v>
      </c>
      <c r="AE17">
        <v>291.66101694915199</v>
      </c>
      <c r="AF17">
        <v>676</v>
      </c>
      <c r="AG17">
        <v>0</v>
      </c>
      <c r="AH17">
        <v>1</v>
      </c>
      <c r="AI17">
        <v>0.117464745079807</v>
      </c>
      <c r="AJ17">
        <v>0.20571827057182701</v>
      </c>
      <c r="AK17">
        <v>1</v>
      </c>
      <c r="AL17">
        <v>1</v>
      </c>
      <c r="AM17">
        <v>291.66101694915199</v>
      </c>
      <c r="AN17">
        <v>691.02</v>
      </c>
      <c r="AO17">
        <v>15.02</v>
      </c>
      <c r="AP17">
        <v>1</v>
      </c>
      <c r="AQ17">
        <v>0.185352072381361</v>
      </c>
      <c r="AR17">
        <v>0.20571827057182701</v>
      </c>
      <c r="AS17">
        <v>0.96210846796578897</v>
      </c>
      <c r="AT17">
        <v>0</v>
      </c>
      <c r="AU17">
        <v>291.66101694915199</v>
      </c>
      <c r="AV17">
        <v>946.72</v>
      </c>
      <c r="AW17">
        <v>270.72000000000003</v>
      </c>
      <c r="AX17">
        <v>0</v>
      </c>
      <c r="AY17">
        <v>0.20571827057182701</v>
      </c>
      <c r="AZ17">
        <v>0.20571827057182701</v>
      </c>
      <c r="BA17">
        <v>0</v>
      </c>
      <c r="BB17">
        <v>0</v>
      </c>
      <c r="BC17">
        <v>291.66101694915199</v>
      </c>
      <c r="BD17">
        <v>946.72</v>
      </c>
      <c r="BE17">
        <v>270.72000000000003</v>
      </c>
      <c r="BF17">
        <v>0</v>
      </c>
      <c r="BG17">
        <v>0.20571827057182701</v>
      </c>
      <c r="BH17">
        <v>0.20571827057182701</v>
      </c>
      <c r="BI17">
        <v>0</v>
      </c>
      <c r="BJ17">
        <v>4</v>
      </c>
      <c r="BK17">
        <v>291.66101694915199</v>
      </c>
      <c r="BL17">
        <v>676</v>
      </c>
      <c r="BM17">
        <v>0</v>
      </c>
      <c r="BN17">
        <v>1</v>
      </c>
      <c r="BO17">
        <v>0.117464745079807</v>
      </c>
      <c r="BP17">
        <v>0.20571827057182701</v>
      </c>
      <c r="BQ17">
        <v>1</v>
      </c>
    </row>
    <row r="18" spans="1:69" x14ac:dyDescent="0.35">
      <c r="A18">
        <v>216</v>
      </c>
      <c r="B18">
        <v>929</v>
      </c>
      <c r="C18">
        <v>1590</v>
      </c>
      <c r="D18">
        <v>12</v>
      </c>
      <c r="E18">
        <v>40</v>
      </c>
      <c r="F18">
        <v>1.8402777779999999</v>
      </c>
      <c r="G18">
        <v>726</v>
      </c>
      <c r="H18">
        <v>4</v>
      </c>
      <c r="I18">
        <v>864</v>
      </c>
      <c r="J18">
        <v>50</v>
      </c>
      <c r="K18">
        <v>0</v>
      </c>
      <c r="L18">
        <v>40</v>
      </c>
      <c r="M18" t="s">
        <v>83</v>
      </c>
      <c r="N18">
        <v>9</v>
      </c>
      <c r="O18">
        <v>67.516574074074001</v>
      </c>
      <c r="P18">
        <v>726</v>
      </c>
      <c r="Q18">
        <v>0</v>
      </c>
      <c r="R18">
        <v>0.72433682739343097</v>
      </c>
      <c r="S18" s="1">
        <v>5.5589369040373299E-5</v>
      </c>
      <c r="T18">
        <v>0.16301886792452799</v>
      </c>
      <c r="U18">
        <v>1</v>
      </c>
      <c r="V18">
        <v>4</v>
      </c>
      <c r="W18">
        <v>294.20648148148098</v>
      </c>
      <c r="X18">
        <v>726</v>
      </c>
      <c r="Y18">
        <v>0</v>
      </c>
      <c r="Z18">
        <v>0.99996855345911895</v>
      </c>
      <c r="AA18">
        <v>7.0024458420684804E-2</v>
      </c>
      <c r="AB18">
        <v>0.16301886792452799</v>
      </c>
      <c r="AC18">
        <v>1</v>
      </c>
      <c r="AD18">
        <v>4</v>
      </c>
      <c r="AE18">
        <v>294.20648148148098</v>
      </c>
      <c r="AF18">
        <v>726</v>
      </c>
      <c r="AG18">
        <v>0</v>
      </c>
      <c r="AH18">
        <v>0.99996855345911895</v>
      </c>
      <c r="AI18">
        <v>7.0024458420684804E-2</v>
      </c>
      <c r="AJ18">
        <v>0.16301886792452799</v>
      </c>
      <c r="AK18">
        <v>1</v>
      </c>
      <c r="AL18">
        <v>1</v>
      </c>
      <c r="AM18">
        <v>294.444444444444</v>
      </c>
      <c r="AN18">
        <v>729.76</v>
      </c>
      <c r="AO18">
        <v>3.76</v>
      </c>
      <c r="AP18">
        <v>1</v>
      </c>
      <c r="AQ18">
        <v>0.14155781325592601</v>
      </c>
      <c r="AR18">
        <v>0.16301886792452799</v>
      </c>
      <c r="AS18">
        <v>0.98093747434044498</v>
      </c>
      <c r="AT18">
        <v>0</v>
      </c>
      <c r="AU18">
        <v>294.444444444444</v>
      </c>
      <c r="AV18">
        <v>886.82</v>
      </c>
      <c r="AW18">
        <v>160.82</v>
      </c>
      <c r="AX18">
        <v>0</v>
      </c>
      <c r="AY18">
        <v>0.16301886792452799</v>
      </c>
      <c r="AZ18">
        <v>0.16301886792452799</v>
      </c>
      <c r="BA18">
        <v>0</v>
      </c>
      <c r="BB18">
        <v>0</v>
      </c>
      <c r="BC18">
        <v>294.444444444444</v>
      </c>
      <c r="BD18">
        <v>886.82</v>
      </c>
      <c r="BE18">
        <v>160.82</v>
      </c>
      <c r="BF18">
        <v>0</v>
      </c>
      <c r="BG18">
        <v>0.16301886792452799</v>
      </c>
      <c r="BH18">
        <v>0.16301886792452799</v>
      </c>
      <c r="BI18">
        <v>0</v>
      </c>
      <c r="BJ18">
        <v>4</v>
      </c>
      <c r="BK18">
        <v>294.20648148148098</v>
      </c>
      <c r="BL18">
        <v>726</v>
      </c>
      <c r="BM18">
        <v>0</v>
      </c>
      <c r="BN18">
        <v>0.99996855345911895</v>
      </c>
      <c r="BO18">
        <v>7.0024458420684804E-2</v>
      </c>
      <c r="BP18">
        <v>0.16301886792452799</v>
      </c>
      <c r="BQ18">
        <v>1</v>
      </c>
    </row>
    <row r="19" spans="1:69" x14ac:dyDescent="0.35">
      <c r="A19">
        <v>139</v>
      </c>
      <c r="B19">
        <v>394</v>
      </c>
      <c r="C19">
        <v>552</v>
      </c>
      <c r="D19">
        <v>12</v>
      </c>
      <c r="E19">
        <v>40</v>
      </c>
      <c r="F19">
        <v>1.9856115110000001</v>
      </c>
      <c r="G19">
        <v>274</v>
      </c>
      <c r="H19">
        <v>2</v>
      </c>
      <c r="I19">
        <v>278</v>
      </c>
      <c r="J19">
        <v>50</v>
      </c>
      <c r="K19">
        <v>0</v>
      </c>
      <c r="L19">
        <v>40</v>
      </c>
      <c r="M19" t="s">
        <v>84</v>
      </c>
      <c r="N19">
        <v>9</v>
      </c>
      <c r="O19">
        <v>37.365179856115098</v>
      </c>
      <c r="P19">
        <v>274</v>
      </c>
      <c r="Q19">
        <v>0</v>
      </c>
      <c r="R19">
        <v>0.67076489533011197</v>
      </c>
      <c r="S19">
        <v>2.1271622253389401E-4</v>
      </c>
      <c r="T19">
        <v>0.15108695652173901</v>
      </c>
      <c r="U19">
        <v>1</v>
      </c>
      <c r="V19">
        <v>4</v>
      </c>
      <c r="W19">
        <v>154.59035971223</v>
      </c>
      <c r="X19">
        <v>274</v>
      </c>
      <c r="Y19">
        <v>0</v>
      </c>
      <c r="Z19">
        <v>0.997364130434782</v>
      </c>
      <c r="AA19">
        <v>5.7056159420289798E-2</v>
      </c>
      <c r="AB19">
        <v>0.15108695652173901</v>
      </c>
      <c r="AC19">
        <v>1</v>
      </c>
      <c r="AD19">
        <v>4</v>
      </c>
      <c r="AE19">
        <v>154.59035971223</v>
      </c>
      <c r="AF19">
        <v>274</v>
      </c>
      <c r="AG19">
        <v>0</v>
      </c>
      <c r="AH19">
        <v>0.997364130434782</v>
      </c>
      <c r="AI19">
        <v>5.7056159420289798E-2</v>
      </c>
      <c r="AJ19">
        <v>0.15108695652173901</v>
      </c>
      <c r="AK19">
        <v>1</v>
      </c>
      <c r="AL19">
        <v>1</v>
      </c>
      <c r="AM19">
        <v>158.84892086330899</v>
      </c>
      <c r="AN19">
        <v>276.14</v>
      </c>
      <c r="AO19">
        <v>2.14</v>
      </c>
      <c r="AP19">
        <v>1</v>
      </c>
      <c r="AQ19">
        <v>0.12931995540691099</v>
      </c>
      <c r="AR19">
        <v>0.15108695652173901</v>
      </c>
      <c r="AS19">
        <v>0.95325380049671504</v>
      </c>
      <c r="AT19">
        <v>0</v>
      </c>
      <c r="AU19">
        <v>158.84892086330899</v>
      </c>
      <c r="AV19">
        <v>325.76</v>
      </c>
      <c r="AW19">
        <v>51.76</v>
      </c>
      <c r="AX19">
        <v>0</v>
      </c>
      <c r="AY19">
        <v>0.15108695652173901</v>
      </c>
      <c r="AZ19">
        <v>0.15108695652173901</v>
      </c>
      <c r="BA19">
        <v>0</v>
      </c>
      <c r="BB19">
        <v>0</v>
      </c>
      <c r="BC19">
        <v>158.84892086330899</v>
      </c>
      <c r="BD19">
        <v>325.76</v>
      </c>
      <c r="BE19">
        <v>51.76</v>
      </c>
      <c r="BF19">
        <v>0</v>
      </c>
      <c r="BG19">
        <v>0.15108695652173901</v>
      </c>
      <c r="BH19">
        <v>0.15108695652173901</v>
      </c>
      <c r="BI19">
        <v>0</v>
      </c>
      <c r="BJ19">
        <v>4</v>
      </c>
      <c r="BK19">
        <v>154.59035971223</v>
      </c>
      <c r="BL19">
        <v>274</v>
      </c>
      <c r="BM19">
        <v>0</v>
      </c>
      <c r="BN19">
        <v>0.997364130434782</v>
      </c>
      <c r="BO19">
        <v>5.7056159420289798E-2</v>
      </c>
      <c r="BP19">
        <v>0.15108695652173901</v>
      </c>
      <c r="BQ19">
        <v>1</v>
      </c>
    </row>
    <row r="20" spans="1:69" x14ac:dyDescent="0.35">
      <c r="A20">
        <v>175</v>
      </c>
      <c r="B20">
        <v>622</v>
      </c>
      <c r="C20">
        <v>1018</v>
      </c>
      <c r="D20">
        <v>12</v>
      </c>
      <c r="E20">
        <v>40</v>
      </c>
      <c r="F20">
        <v>1.9390476189999999</v>
      </c>
      <c r="G20">
        <v>493</v>
      </c>
      <c r="H20">
        <v>3</v>
      </c>
      <c r="I20">
        <v>525</v>
      </c>
      <c r="J20">
        <v>50</v>
      </c>
      <c r="K20">
        <v>0</v>
      </c>
      <c r="L20">
        <v>40</v>
      </c>
      <c r="M20" t="s">
        <v>85</v>
      </c>
      <c r="N20">
        <v>9</v>
      </c>
      <c r="O20">
        <v>53.214285714285701</v>
      </c>
      <c r="P20">
        <v>493</v>
      </c>
      <c r="Q20">
        <v>0</v>
      </c>
      <c r="R20">
        <v>0.68738703339882101</v>
      </c>
      <c r="S20" s="1">
        <v>6.8445402116737395E-5</v>
      </c>
      <c r="T20">
        <v>0.15471512770137499</v>
      </c>
      <c r="U20">
        <v>1</v>
      </c>
      <c r="V20">
        <v>4</v>
      </c>
      <c r="W20">
        <v>231.171999999999</v>
      </c>
      <c r="X20">
        <v>493</v>
      </c>
      <c r="Y20">
        <v>0</v>
      </c>
      <c r="Z20">
        <v>0.99971512770137505</v>
      </c>
      <c r="AA20">
        <v>6.0826238812486298E-2</v>
      </c>
      <c r="AB20">
        <v>0.15471512770137499</v>
      </c>
      <c r="AC20">
        <v>1</v>
      </c>
      <c r="AD20">
        <v>4</v>
      </c>
      <c r="AE20">
        <v>231.171999999999</v>
      </c>
      <c r="AF20">
        <v>493</v>
      </c>
      <c r="AG20">
        <v>0</v>
      </c>
      <c r="AH20">
        <v>0.99971512770137505</v>
      </c>
      <c r="AI20">
        <v>6.0826238812486298E-2</v>
      </c>
      <c r="AJ20">
        <v>0.15471512770137499</v>
      </c>
      <c r="AK20">
        <v>1</v>
      </c>
      <c r="AL20">
        <v>1</v>
      </c>
      <c r="AM20">
        <v>232.685714285714</v>
      </c>
      <c r="AN20">
        <v>495.42</v>
      </c>
      <c r="AO20">
        <v>2.42</v>
      </c>
      <c r="AP20">
        <v>1</v>
      </c>
      <c r="AQ20">
        <v>0.133041156616795</v>
      </c>
      <c r="AR20">
        <v>0.15471512770137499</v>
      </c>
      <c r="AS20">
        <v>0.97374412582321801</v>
      </c>
      <c r="AT20">
        <v>0</v>
      </c>
      <c r="AU20">
        <v>232.685714285714</v>
      </c>
      <c r="AV20">
        <v>589.82000000000005</v>
      </c>
      <c r="AW20">
        <v>96.82</v>
      </c>
      <c r="AX20">
        <v>0</v>
      </c>
      <c r="AY20">
        <v>0.15471512770137499</v>
      </c>
      <c r="AZ20">
        <v>0.15471512770137499</v>
      </c>
      <c r="BA20">
        <v>0</v>
      </c>
      <c r="BB20">
        <v>0</v>
      </c>
      <c r="BC20">
        <v>232.685714285714</v>
      </c>
      <c r="BD20">
        <v>589.82000000000005</v>
      </c>
      <c r="BE20">
        <v>96.82</v>
      </c>
      <c r="BF20">
        <v>0</v>
      </c>
      <c r="BG20">
        <v>0.15471512770137499</v>
      </c>
      <c r="BH20">
        <v>0.15471512770137499</v>
      </c>
      <c r="BI20">
        <v>0</v>
      </c>
      <c r="BJ20">
        <v>4</v>
      </c>
      <c r="BK20">
        <v>231.171999999999</v>
      </c>
      <c r="BL20">
        <v>493</v>
      </c>
      <c r="BM20">
        <v>0</v>
      </c>
      <c r="BN20">
        <v>0.99971512770137505</v>
      </c>
      <c r="BO20">
        <v>6.0826238812486298E-2</v>
      </c>
      <c r="BP20">
        <v>0.15471512770137499</v>
      </c>
      <c r="BQ20">
        <v>1</v>
      </c>
    </row>
    <row r="21" spans="1:69" x14ac:dyDescent="0.35">
      <c r="A21">
        <v>250</v>
      </c>
      <c r="B21">
        <v>3135</v>
      </c>
      <c r="C21">
        <v>3998</v>
      </c>
      <c r="D21">
        <v>12</v>
      </c>
      <c r="E21">
        <v>40</v>
      </c>
      <c r="F21">
        <v>1.332666667</v>
      </c>
      <c r="G21">
        <v>998</v>
      </c>
      <c r="H21">
        <v>12</v>
      </c>
      <c r="I21">
        <v>3000</v>
      </c>
      <c r="J21">
        <v>50</v>
      </c>
      <c r="K21">
        <v>0</v>
      </c>
      <c r="L21">
        <v>40</v>
      </c>
      <c r="M21" t="s">
        <v>86</v>
      </c>
      <c r="N21">
        <v>11</v>
      </c>
      <c r="O21">
        <v>177.81343999999899</v>
      </c>
      <c r="P21">
        <v>998</v>
      </c>
      <c r="Q21">
        <v>0</v>
      </c>
      <c r="R21">
        <v>0.81849379235072095</v>
      </c>
      <c r="S21" s="1">
        <v>3.6915009228752299E-5</v>
      </c>
      <c r="T21">
        <v>0.225112556278139</v>
      </c>
      <c r="U21">
        <v>1</v>
      </c>
      <c r="V21">
        <v>4</v>
      </c>
      <c r="W21">
        <v>639.67999999999995</v>
      </c>
      <c r="X21">
        <v>998</v>
      </c>
      <c r="Y21">
        <v>0</v>
      </c>
      <c r="Z21">
        <v>1</v>
      </c>
      <c r="AA21">
        <v>0.13901395142015399</v>
      </c>
      <c r="AB21">
        <v>0.225112556278139</v>
      </c>
      <c r="AC21">
        <v>1</v>
      </c>
      <c r="AD21">
        <v>4</v>
      </c>
      <c r="AE21">
        <v>639.67999999999995</v>
      </c>
      <c r="AF21">
        <v>998</v>
      </c>
      <c r="AG21">
        <v>0</v>
      </c>
      <c r="AH21">
        <v>1</v>
      </c>
      <c r="AI21">
        <v>0.13901395142015399</v>
      </c>
      <c r="AJ21">
        <v>0.225112556278139</v>
      </c>
      <c r="AK21">
        <v>1</v>
      </c>
      <c r="AL21">
        <v>1</v>
      </c>
      <c r="AM21">
        <v>639.67999999999995</v>
      </c>
      <c r="AN21">
        <v>1014.6</v>
      </c>
      <c r="AO21">
        <v>16.600000000000001</v>
      </c>
      <c r="AP21">
        <v>1</v>
      </c>
      <c r="AQ21">
        <v>0.20524364746475801</v>
      </c>
      <c r="AR21">
        <v>0.225112556278139</v>
      </c>
      <c r="AS21">
        <v>0.98195429434092096</v>
      </c>
      <c r="AT21">
        <v>0</v>
      </c>
      <c r="AU21">
        <v>639.67999999999995</v>
      </c>
      <c r="AV21">
        <v>1550.68</v>
      </c>
      <c r="AW21">
        <v>552.67999999999995</v>
      </c>
      <c r="AX21">
        <v>0</v>
      </c>
      <c r="AY21">
        <v>0.225112556278139</v>
      </c>
      <c r="AZ21">
        <v>0.225112556278139</v>
      </c>
      <c r="BA21">
        <v>0</v>
      </c>
      <c r="BB21">
        <v>0</v>
      </c>
      <c r="BC21">
        <v>639.67999999999995</v>
      </c>
      <c r="BD21">
        <v>1550.68</v>
      </c>
      <c r="BE21">
        <v>552.67999999999995</v>
      </c>
      <c r="BF21">
        <v>0</v>
      </c>
      <c r="BG21">
        <v>0.225112556278139</v>
      </c>
      <c r="BH21">
        <v>0.225112556278139</v>
      </c>
      <c r="BI21">
        <v>0</v>
      </c>
      <c r="BJ21">
        <v>4</v>
      </c>
      <c r="BK21">
        <v>639.67999999999995</v>
      </c>
      <c r="BL21">
        <v>998</v>
      </c>
      <c r="BM21">
        <v>0</v>
      </c>
      <c r="BN21">
        <v>1</v>
      </c>
      <c r="BO21">
        <v>0.13901395142015399</v>
      </c>
      <c r="BP21">
        <v>0.225112556278139</v>
      </c>
      <c r="BQ21">
        <v>1</v>
      </c>
    </row>
    <row r="22" spans="1:69" x14ac:dyDescent="0.35">
      <c r="A22">
        <v>12</v>
      </c>
      <c r="B22">
        <v>58</v>
      </c>
      <c r="C22">
        <v>601</v>
      </c>
      <c r="D22">
        <v>12</v>
      </c>
      <c r="E22">
        <v>12</v>
      </c>
      <c r="F22">
        <v>12.52083333</v>
      </c>
      <c r="G22">
        <v>553</v>
      </c>
      <c r="H22">
        <v>4</v>
      </c>
      <c r="I22">
        <v>48</v>
      </c>
      <c r="J22">
        <v>50</v>
      </c>
      <c r="K22">
        <v>0</v>
      </c>
      <c r="L22">
        <v>9</v>
      </c>
      <c r="M22" t="s">
        <v>87</v>
      </c>
      <c r="N22">
        <v>2</v>
      </c>
      <c r="O22">
        <v>100.166666666666</v>
      </c>
      <c r="P22">
        <v>553</v>
      </c>
      <c r="Q22">
        <v>0</v>
      </c>
      <c r="R22">
        <v>0.479201331114808</v>
      </c>
      <c r="S22">
        <v>0</v>
      </c>
      <c r="T22">
        <v>7.9866888519134704E-2</v>
      </c>
      <c r="U22">
        <v>1</v>
      </c>
      <c r="V22">
        <v>0</v>
      </c>
      <c r="W22">
        <v>601</v>
      </c>
      <c r="X22">
        <v>553</v>
      </c>
      <c r="Y22">
        <v>0</v>
      </c>
      <c r="Z22">
        <v>0</v>
      </c>
      <c r="AA22">
        <v>7.9866888519134704E-2</v>
      </c>
      <c r="AB22">
        <v>7.9866888519134704E-2</v>
      </c>
      <c r="AC22">
        <v>0</v>
      </c>
      <c r="AD22">
        <v>0</v>
      </c>
      <c r="AE22">
        <v>601</v>
      </c>
      <c r="AF22">
        <v>553</v>
      </c>
      <c r="AG22">
        <v>0</v>
      </c>
      <c r="AH22">
        <v>0</v>
      </c>
      <c r="AI22">
        <v>7.9866888519134704E-2</v>
      </c>
      <c r="AJ22">
        <v>7.9866888519134704E-2</v>
      </c>
      <c r="AK22">
        <v>0</v>
      </c>
      <c r="AL22">
        <v>1</v>
      </c>
      <c r="AM22">
        <v>219.05500000000001</v>
      </c>
      <c r="AN22">
        <v>553</v>
      </c>
      <c r="AO22">
        <v>0</v>
      </c>
      <c r="AP22">
        <v>0.93387687188019897</v>
      </c>
      <c r="AQ22">
        <v>2.2296173044925099E-3</v>
      </c>
      <c r="AR22">
        <v>7.9866888519134704E-2</v>
      </c>
      <c r="AS22">
        <v>1</v>
      </c>
      <c r="AT22">
        <v>0</v>
      </c>
      <c r="AU22">
        <v>601</v>
      </c>
      <c r="AV22">
        <v>553</v>
      </c>
      <c r="AW22">
        <v>0</v>
      </c>
      <c r="AX22">
        <v>0</v>
      </c>
      <c r="AY22">
        <v>7.9866888519134704E-2</v>
      </c>
      <c r="AZ22">
        <v>7.9866888519134704E-2</v>
      </c>
      <c r="BA22">
        <v>0</v>
      </c>
      <c r="BB22">
        <v>0</v>
      </c>
      <c r="BC22">
        <v>601</v>
      </c>
      <c r="BD22">
        <v>553</v>
      </c>
      <c r="BE22">
        <v>0</v>
      </c>
      <c r="BF22">
        <v>0</v>
      </c>
      <c r="BG22">
        <v>7.9866888519134704E-2</v>
      </c>
      <c r="BH22">
        <v>7.9866888519134704E-2</v>
      </c>
      <c r="BI22">
        <v>0</v>
      </c>
      <c r="BJ22">
        <v>1</v>
      </c>
      <c r="BK22">
        <v>219.05500000000001</v>
      </c>
      <c r="BL22">
        <v>553</v>
      </c>
      <c r="BM22">
        <v>0</v>
      </c>
      <c r="BN22">
        <v>0.93387687188019897</v>
      </c>
      <c r="BO22">
        <v>2.2296173044925099E-3</v>
      </c>
      <c r="BP22">
        <v>7.9866888519134704E-2</v>
      </c>
      <c r="BQ22">
        <v>1</v>
      </c>
    </row>
    <row r="23" spans="1:69" x14ac:dyDescent="0.35">
      <c r="A23">
        <v>55</v>
      </c>
      <c r="B23">
        <v>240</v>
      </c>
      <c r="C23">
        <v>782</v>
      </c>
      <c r="D23">
        <v>12</v>
      </c>
      <c r="E23">
        <v>40</v>
      </c>
      <c r="F23">
        <v>3.554545455</v>
      </c>
      <c r="G23">
        <v>562</v>
      </c>
      <c r="H23">
        <v>4</v>
      </c>
      <c r="I23">
        <v>220</v>
      </c>
      <c r="J23">
        <v>50</v>
      </c>
      <c r="K23">
        <v>0</v>
      </c>
      <c r="L23">
        <v>40</v>
      </c>
      <c r="M23" t="s">
        <v>88</v>
      </c>
      <c r="N23">
        <v>5</v>
      </c>
      <c r="O23">
        <v>71.324727272727202</v>
      </c>
      <c r="P23">
        <v>562</v>
      </c>
      <c r="Q23">
        <v>0</v>
      </c>
      <c r="R23">
        <v>0.67516112531969297</v>
      </c>
      <c r="S23" s="1">
        <v>4.3843624406284197E-6</v>
      </c>
      <c r="T23">
        <v>8.4398976982097099E-2</v>
      </c>
      <c r="U23">
        <v>1</v>
      </c>
      <c r="V23">
        <v>1</v>
      </c>
      <c r="W23">
        <v>568.72727272727195</v>
      </c>
      <c r="X23">
        <v>562</v>
      </c>
      <c r="Y23">
        <v>0</v>
      </c>
      <c r="Z23">
        <v>1</v>
      </c>
      <c r="AA23">
        <v>6.0922027673945799E-2</v>
      </c>
      <c r="AB23">
        <v>8.4398976982097099E-2</v>
      </c>
      <c r="AC23">
        <v>1</v>
      </c>
      <c r="AD23">
        <v>1</v>
      </c>
      <c r="AE23">
        <v>568.72727272727195</v>
      </c>
      <c r="AF23">
        <v>562</v>
      </c>
      <c r="AG23">
        <v>0</v>
      </c>
      <c r="AH23">
        <v>1</v>
      </c>
      <c r="AI23">
        <v>6.0922027673945799E-2</v>
      </c>
      <c r="AJ23">
        <v>8.4398976982097099E-2</v>
      </c>
      <c r="AK23">
        <v>1</v>
      </c>
      <c r="AL23">
        <v>1</v>
      </c>
      <c r="AM23">
        <v>568.72727272727195</v>
      </c>
      <c r="AN23">
        <v>562</v>
      </c>
      <c r="AO23">
        <v>0</v>
      </c>
      <c r="AP23">
        <v>1</v>
      </c>
      <c r="AQ23">
        <v>6.0922027673945799E-2</v>
      </c>
      <c r="AR23">
        <v>8.4398976982097099E-2</v>
      </c>
      <c r="AS23">
        <v>1</v>
      </c>
      <c r="AT23">
        <v>0</v>
      </c>
      <c r="AU23">
        <v>568.72727272727195</v>
      </c>
      <c r="AV23">
        <v>671.52</v>
      </c>
      <c r="AW23">
        <v>109.52</v>
      </c>
      <c r="AX23">
        <v>0</v>
      </c>
      <c r="AY23">
        <v>8.4398976982097099E-2</v>
      </c>
      <c r="AZ23">
        <v>8.4398976982097099E-2</v>
      </c>
      <c r="BA23">
        <v>0</v>
      </c>
      <c r="BB23">
        <v>0</v>
      </c>
      <c r="BC23">
        <v>568.72727272727195</v>
      </c>
      <c r="BD23">
        <v>671.52</v>
      </c>
      <c r="BE23">
        <v>109.52</v>
      </c>
      <c r="BF23">
        <v>0</v>
      </c>
      <c r="BG23">
        <v>8.4398976982097099E-2</v>
      </c>
      <c r="BH23">
        <v>8.4398976982097099E-2</v>
      </c>
      <c r="BI23">
        <v>0</v>
      </c>
      <c r="BJ23">
        <v>1</v>
      </c>
      <c r="BK23">
        <v>568.72727272727195</v>
      </c>
      <c r="BL23">
        <v>562</v>
      </c>
      <c r="BM23">
        <v>0</v>
      </c>
      <c r="BN23">
        <v>1</v>
      </c>
      <c r="BO23">
        <v>6.0922027673945799E-2</v>
      </c>
      <c r="BP23">
        <v>8.4398976982097099E-2</v>
      </c>
      <c r="BQ23">
        <v>1</v>
      </c>
    </row>
    <row r="24" spans="1:69" x14ac:dyDescent="0.35">
      <c r="A24">
        <v>91</v>
      </c>
      <c r="B24">
        <v>221</v>
      </c>
      <c r="C24">
        <v>396</v>
      </c>
      <c r="D24">
        <v>12</v>
      </c>
      <c r="E24">
        <v>40</v>
      </c>
      <c r="F24">
        <v>2.1758241759999999</v>
      </c>
      <c r="G24">
        <v>214</v>
      </c>
      <c r="H24">
        <v>2</v>
      </c>
      <c r="I24">
        <v>182</v>
      </c>
      <c r="J24">
        <v>50</v>
      </c>
      <c r="K24">
        <v>0</v>
      </c>
      <c r="L24">
        <v>40</v>
      </c>
      <c r="M24" t="s">
        <v>89</v>
      </c>
      <c r="N24">
        <v>8</v>
      </c>
      <c r="O24">
        <v>37.309890109890098</v>
      </c>
      <c r="P24">
        <v>214</v>
      </c>
      <c r="Q24">
        <v>0</v>
      </c>
      <c r="R24">
        <v>0.68844065656565601</v>
      </c>
      <c r="S24">
        <v>2.3832070707070701E-4</v>
      </c>
      <c r="T24">
        <v>0.13787878787878699</v>
      </c>
      <c r="U24">
        <v>1</v>
      </c>
      <c r="V24">
        <v>4</v>
      </c>
      <c r="W24">
        <v>163.09098901098901</v>
      </c>
      <c r="X24">
        <v>214</v>
      </c>
      <c r="Y24">
        <v>0</v>
      </c>
      <c r="Z24">
        <v>0.99419191919191896</v>
      </c>
      <c r="AA24">
        <v>4.2732884399551002E-2</v>
      </c>
      <c r="AB24">
        <v>0.13787878787878699</v>
      </c>
      <c r="AC24">
        <v>1</v>
      </c>
      <c r="AD24">
        <v>4</v>
      </c>
      <c r="AE24">
        <v>163.09098901098901</v>
      </c>
      <c r="AF24">
        <v>214</v>
      </c>
      <c r="AG24">
        <v>0</v>
      </c>
      <c r="AH24">
        <v>0.99419191919191896</v>
      </c>
      <c r="AI24">
        <v>4.2732884399551002E-2</v>
      </c>
      <c r="AJ24">
        <v>0.13787878787878699</v>
      </c>
      <c r="AK24">
        <v>1</v>
      </c>
      <c r="AL24">
        <v>1</v>
      </c>
      <c r="AM24">
        <v>174.06593406593399</v>
      </c>
      <c r="AN24">
        <v>214.58</v>
      </c>
      <c r="AO24">
        <v>0.57999999999999996</v>
      </c>
      <c r="AP24">
        <v>1</v>
      </c>
      <c r="AQ24">
        <v>0.115773115773115</v>
      </c>
      <c r="AR24">
        <v>0.13787878787878699</v>
      </c>
      <c r="AS24">
        <v>0.96540285427643002</v>
      </c>
      <c r="AT24">
        <v>0</v>
      </c>
      <c r="AU24">
        <v>174.06593406593399</v>
      </c>
      <c r="AV24">
        <v>269.04000000000002</v>
      </c>
      <c r="AW24">
        <v>55.04</v>
      </c>
      <c r="AX24">
        <v>0</v>
      </c>
      <c r="AY24">
        <v>0.13787878787878699</v>
      </c>
      <c r="AZ24">
        <v>0.13787878787878699</v>
      </c>
      <c r="BA24">
        <v>0</v>
      </c>
      <c r="BB24">
        <v>0</v>
      </c>
      <c r="BC24">
        <v>174.06593406593399</v>
      </c>
      <c r="BD24">
        <v>269.04000000000002</v>
      </c>
      <c r="BE24">
        <v>55.04</v>
      </c>
      <c r="BF24">
        <v>0</v>
      </c>
      <c r="BG24">
        <v>0.13787878787878699</v>
      </c>
      <c r="BH24">
        <v>0.13787878787878699</v>
      </c>
      <c r="BI24">
        <v>0</v>
      </c>
      <c r="BJ24">
        <v>3</v>
      </c>
      <c r="BK24">
        <v>173.845714285714</v>
      </c>
      <c r="BL24">
        <v>214.04</v>
      </c>
      <c r="BM24">
        <v>0.04</v>
      </c>
      <c r="BN24">
        <v>0.99986531986531901</v>
      </c>
      <c r="BO24">
        <v>6.7987987987987997E-2</v>
      </c>
      <c r="BP24">
        <v>0.13787878787878699</v>
      </c>
      <c r="BQ24">
        <v>1</v>
      </c>
    </row>
    <row r="25" spans="1:69" x14ac:dyDescent="0.35">
      <c r="A25">
        <v>404</v>
      </c>
      <c r="B25">
        <v>2388</v>
      </c>
      <c r="C25">
        <v>3278</v>
      </c>
      <c r="D25">
        <v>12</v>
      </c>
      <c r="E25">
        <v>40</v>
      </c>
      <c r="F25">
        <v>1.6227722769999999</v>
      </c>
      <c r="G25">
        <v>1258</v>
      </c>
      <c r="H25">
        <v>5</v>
      </c>
      <c r="I25">
        <v>2020</v>
      </c>
      <c r="J25">
        <v>50</v>
      </c>
      <c r="K25">
        <v>0</v>
      </c>
      <c r="L25">
        <v>40</v>
      </c>
      <c r="M25" t="s">
        <v>90</v>
      </c>
      <c r="N25">
        <v>10</v>
      </c>
      <c r="O25">
        <v>82.527475247524706</v>
      </c>
      <c r="P25">
        <v>1258.04</v>
      </c>
      <c r="Q25">
        <v>0.04</v>
      </c>
      <c r="R25">
        <v>0.73925808419768102</v>
      </c>
      <c r="S25" s="1">
        <v>7.2401871059589096E-5</v>
      </c>
      <c r="T25">
        <v>0.18486882245271499</v>
      </c>
      <c r="U25">
        <v>1</v>
      </c>
      <c r="V25">
        <v>4</v>
      </c>
      <c r="W25">
        <v>324.55445544554402</v>
      </c>
      <c r="X25">
        <v>1258</v>
      </c>
      <c r="Y25">
        <v>0</v>
      </c>
      <c r="Z25">
        <v>1</v>
      </c>
      <c r="AA25">
        <v>9.4298691614127794E-2</v>
      </c>
      <c r="AB25">
        <v>0.18486882245271499</v>
      </c>
      <c r="AC25">
        <v>1</v>
      </c>
      <c r="AD25">
        <v>4</v>
      </c>
      <c r="AE25">
        <v>324.55445544554402</v>
      </c>
      <c r="AF25">
        <v>1258</v>
      </c>
      <c r="AG25">
        <v>0</v>
      </c>
      <c r="AH25">
        <v>1</v>
      </c>
      <c r="AI25">
        <v>9.4298691614127794E-2</v>
      </c>
      <c r="AJ25">
        <v>0.18486882245271499</v>
      </c>
      <c r="AK25">
        <v>1</v>
      </c>
      <c r="AL25">
        <v>1</v>
      </c>
      <c r="AM25">
        <v>324.55445544554402</v>
      </c>
      <c r="AN25">
        <v>1270.1199999999999</v>
      </c>
      <c r="AO25">
        <v>12.12</v>
      </c>
      <c r="AP25">
        <v>1</v>
      </c>
      <c r="AQ25">
        <v>0.163968023028425</v>
      </c>
      <c r="AR25">
        <v>0.18486882245271499</v>
      </c>
      <c r="AS25">
        <v>0.97721957909393997</v>
      </c>
      <c r="AT25">
        <v>0</v>
      </c>
      <c r="AU25">
        <v>324.55445544554402</v>
      </c>
      <c r="AV25">
        <v>1631.9</v>
      </c>
      <c r="AW25">
        <v>373.9</v>
      </c>
      <c r="AX25">
        <v>0</v>
      </c>
      <c r="AY25">
        <v>0.18486882245271499</v>
      </c>
      <c r="AZ25">
        <v>0.18486882245271499</v>
      </c>
      <c r="BA25">
        <v>0</v>
      </c>
      <c r="BB25">
        <v>0</v>
      </c>
      <c r="BC25">
        <v>324.55445544554402</v>
      </c>
      <c r="BD25">
        <v>1631.9</v>
      </c>
      <c r="BE25">
        <v>373.9</v>
      </c>
      <c r="BF25">
        <v>0</v>
      </c>
      <c r="BG25">
        <v>0.18486882245271499</v>
      </c>
      <c r="BH25">
        <v>0.18486882245271499</v>
      </c>
      <c r="BI25">
        <v>0</v>
      </c>
      <c r="BJ25">
        <v>4</v>
      </c>
      <c r="BK25">
        <v>324.55445544554402</v>
      </c>
      <c r="BL25">
        <v>1258</v>
      </c>
      <c r="BM25">
        <v>0</v>
      </c>
      <c r="BN25">
        <v>1</v>
      </c>
      <c r="BO25">
        <v>9.4298691614127794E-2</v>
      </c>
      <c r="BP25">
        <v>0.18486882245271499</v>
      </c>
      <c r="BQ25">
        <v>1</v>
      </c>
    </row>
    <row r="26" spans="1:69" x14ac:dyDescent="0.35">
      <c r="A26">
        <v>35</v>
      </c>
      <c r="B26">
        <v>151</v>
      </c>
      <c r="C26">
        <v>1108</v>
      </c>
      <c r="D26">
        <v>12</v>
      </c>
      <c r="E26">
        <v>35</v>
      </c>
      <c r="F26">
        <v>7.914285714</v>
      </c>
      <c r="G26">
        <v>968</v>
      </c>
      <c r="H26">
        <v>4</v>
      </c>
      <c r="I26">
        <v>140</v>
      </c>
      <c r="J26">
        <v>50</v>
      </c>
      <c r="K26">
        <v>0</v>
      </c>
      <c r="L26">
        <v>32</v>
      </c>
      <c r="M26" t="s">
        <v>91</v>
      </c>
      <c r="N26">
        <v>2</v>
      </c>
      <c r="O26">
        <v>73.636571428571401</v>
      </c>
      <c r="P26">
        <v>968</v>
      </c>
      <c r="Q26">
        <v>0</v>
      </c>
      <c r="R26">
        <v>0.75772563176895202</v>
      </c>
      <c r="S26" s="1">
        <v>2.4067388688327301E-5</v>
      </c>
      <c r="T26">
        <v>4.3321299638989098E-2</v>
      </c>
      <c r="U26">
        <v>1</v>
      </c>
      <c r="V26">
        <v>1</v>
      </c>
      <c r="W26">
        <v>1104.98114285714</v>
      </c>
      <c r="X26">
        <v>968</v>
      </c>
      <c r="Y26">
        <v>0</v>
      </c>
      <c r="Z26">
        <v>0.999693140794223</v>
      </c>
      <c r="AA26">
        <v>1.51927160755999E-2</v>
      </c>
      <c r="AB26">
        <v>4.3321299638989098E-2</v>
      </c>
      <c r="AC26">
        <v>1</v>
      </c>
      <c r="AD26">
        <v>1</v>
      </c>
      <c r="AE26">
        <v>1104.98114285714</v>
      </c>
      <c r="AF26">
        <v>968</v>
      </c>
      <c r="AG26">
        <v>0</v>
      </c>
      <c r="AH26">
        <v>0.999693140794223</v>
      </c>
      <c r="AI26">
        <v>1.51927160755999E-2</v>
      </c>
      <c r="AJ26">
        <v>4.3321299638989098E-2</v>
      </c>
      <c r="AK26">
        <v>1</v>
      </c>
      <c r="AL26">
        <v>1</v>
      </c>
      <c r="AM26">
        <v>1104.98114285714</v>
      </c>
      <c r="AN26">
        <v>968</v>
      </c>
      <c r="AO26">
        <v>0</v>
      </c>
      <c r="AP26">
        <v>0.999693140794223</v>
      </c>
      <c r="AQ26">
        <v>1.51927160755999E-2</v>
      </c>
      <c r="AR26">
        <v>4.3321299638989098E-2</v>
      </c>
      <c r="AS26">
        <v>1</v>
      </c>
      <c r="AT26">
        <v>0</v>
      </c>
      <c r="AU26">
        <v>1108</v>
      </c>
      <c r="AV26">
        <v>1060</v>
      </c>
      <c r="AW26">
        <v>92</v>
      </c>
      <c r="AX26">
        <v>0</v>
      </c>
      <c r="AY26">
        <v>4.3321299638989098E-2</v>
      </c>
      <c r="AZ26">
        <v>4.3321299638989098E-2</v>
      </c>
      <c r="BA26">
        <v>0</v>
      </c>
      <c r="BB26">
        <v>0</v>
      </c>
      <c r="BC26">
        <v>1108</v>
      </c>
      <c r="BD26">
        <v>1060</v>
      </c>
      <c r="BE26">
        <v>92</v>
      </c>
      <c r="BF26">
        <v>0</v>
      </c>
      <c r="BG26">
        <v>4.3321299638989098E-2</v>
      </c>
      <c r="BH26">
        <v>4.3321299638989098E-2</v>
      </c>
      <c r="BI26">
        <v>0</v>
      </c>
      <c r="BJ26">
        <v>1</v>
      </c>
      <c r="BK26">
        <v>1104.98114285714</v>
      </c>
      <c r="BL26">
        <v>968</v>
      </c>
      <c r="BM26">
        <v>0</v>
      </c>
      <c r="BN26">
        <v>0.999693140794223</v>
      </c>
      <c r="BO26">
        <v>1.51927160755999E-2</v>
      </c>
      <c r="BP26">
        <v>4.3321299638989098E-2</v>
      </c>
      <c r="BQ26">
        <v>1</v>
      </c>
    </row>
    <row r="27" spans="1:69" x14ac:dyDescent="0.35">
      <c r="A27">
        <v>377</v>
      </c>
      <c r="B27">
        <v>1778</v>
      </c>
      <c r="C27">
        <v>3305</v>
      </c>
      <c r="D27">
        <v>12</v>
      </c>
      <c r="E27">
        <v>40</v>
      </c>
      <c r="F27">
        <v>2.191644562</v>
      </c>
      <c r="G27">
        <v>1797</v>
      </c>
      <c r="H27">
        <v>4</v>
      </c>
      <c r="I27">
        <v>1508</v>
      </c>
      <c r="J27">
        <v>50</v>
      </c>
      <c r="K27">
        <v>0</v>
      </c>
      <c r="L27">
        <v>40</v>
      </c>
      <c r="M27" t="s">
        <v>92</v>
      </c>
      <c r="N27">
        <v>7</v>
      </c>
      <c r="O27">
        <v>70.3981962864721</v>
      </c>
      <c r="P27">
        <v>1797</v>
      </c>
      <c r="Q27">
        <v>0</v>
      </c>
      <c r="R27">
        <v>0.78062675599740605</v>
      </c>
      <c r="S27">
        <v>3.3191216247191999E-4</v>
      </c>
      <c r="T27">
        <v>0.13688350983358499</v>
      </c>
      <c r="U27">
        <v>1</v>
      </c>
      <c r="V27">
        <v>3</v>
      </c>
      <c r="W27">
        <v>350.64610079575601</v>
      </c>
      <c r="X27">
        <v>1797</v>
      </c>
      <c r="Y27">
        <v>0</v>
      </c>
      <c r="Z27">
        <v>0.99999394856278301</v>
      </c>
      <c r="AA27">
        <v>6.6901582369055898E-2</v>
      </c>
      <c r="AB27">
        <v>0.13688350983358499</v>
      </c>
      <c r="AC27">
        <v>1</v>
      </c>
      <c r="AD27">
        <v>3</v>
      </c>
      <c r="AE27">
        <v>350.64610079575601</v>
      </c>
      <c r="AF27">
        <v>1797</v>
      </c>
      <c r="AG27">
        <v>0</v>
      </c>
      <c r="AH27">
        <v>0.99999394856278301</v>
      </c>
      <c r="AI27">
        <v>6.6901582369055898E-2</v>
      </c>
      <c r="AJ27">
        <v>0.13688350983358499</v>
      </c>
      <c r="AK27">
        <v>1</v>
      </c>
      <c r="AL27">
        <v>1</v>
      </c>
      <c r="AM27">
        <v>350.66312997347399</v>
      </c>
      <c r="AN27">
        <v>1798.84</v>
      </c>
      <c r="AO27">
        <v>1.84</v>
      </c>
      <c r="AP27">
        <v>1</v>
      </c>
      <c r="AQ27">
        <v>0.114752317778036</v>
      </c>
      <c r="AR27">
        <v>0.13688350983358499</v>
      </c>
      <c r="AS27">
        <v>0.993467468048991</v>
      </c>
      <c r="AT27">
        <v>0</v>
      </c>
      <c r="AU27">
        <v>350.66312997347399</v>
      </c>
      <c r="AV27">
        <v>2075.7199999999998</v>
      </c>
      <c r="AW27">
        <v>278.72000000000003</v>
      </c>
      <c r="AX27">
        <v>0</v>
      </c>
      <c r="AY27">
        <v>0.13688350983358499</v>
      </c>
      <c r="AZ27">
        <v>0.13688350983358499</v>
      </c>
      <c r="BA27">
        <v>0</v>
      </c>
      <c r="BB27">
        <v>0</v>
      </c>
      <c r="BC27">
        <v>350.66312997347399</v>
      </c>
      <c r="BD27">
        <v>2075.7199999999998</v>
      </c>
      <c r="BE27">
        <v>278.72000000000003</v>
      </c>
      <c r="BF27">
        <v>0</v>
      </c>
      <c r="BG27">
        <v>0.13688350983358499</v>
      </c>
      <c r="BH27">
        <v>0.13688350983358499</v>
      </c>
      <c r="BI27">
        <v>0</v>
      </c>
      <c r="BJ27">
        <v>3</v>
      </c>
      <c r="BK27">
        <v>350.64610079575601</v>
      </c>
      <c r="BL27">
        <v>1797</v>
      </c>
      <c r="BM27">
        <v>0</v>
      </c>
      <c r="BN27">
        <v>0.99999394856278301</v>
      </c>
      <c r="BO27">
        <v>6.6901582369055898E-2</v>
      </c>
      <c r="BP27">
        <v>0.13688350983358499</v>
      </c>
      <c r="BQ27">
        <v>1</v>
      </c>
    </row>
    <row r="28" spans="1:69" x14ac:dyDescent="0.35">
      <c r="A28">
        <v>261</v>
      </c>
      <c r="B28">
        <v>1194</v>
      </c>
      <c r="C28">
        <v>2229</v>
      </c>
      <c r="D28">
        <v>12</v>
      </c>
      <c r="E28">
        <v>40</v>
      </c>
      <c r="F28">
        <v>2.1350574710000001</v>
      </c>
      <c r="G28">
        <v>1185</v>
      </c>
      <c r="H28">
        <v>4</v>
      </c>
      <c r="I28">
        <v>1044</v>
      </c>
      <c r="J28">
        <v>50</v>
      </c>
      <c r="K28">
        <v>0</v>
      </c>
      <c r="L28">
        <v>40</v>
      </c>
      <c r="M28" t="s">
        <v>93</v>
      </c>
      <c r="N28">
        <v>8</v>
      </c>
      <c r="O28">
        <v>69.133180076628307</v>
      </c>
      <c r="P28">
        <v>1185</v>
      </c>
      <c r="Q28">
        <v>0</v>
      </c>
      <c r="R28">
        <v>0.70245177209510901</v>
      </c>
      <c r="S28" s="1">
        <v>2.63571108120233E-5</v>
      </c>
      <c r="T28">
        <v>0.140511440107671</v>
      </c>
      <c r="U28">
        <v>1</v>
      </c>
      <c r="V28">
        <v>3</v>
      </c>
      <c r="W28">
        <v>341.60919540229798</v>
      </c>
      <c r="X28">
        <v>1185</v>
      </c>
      <c r="Y28">
        <v>0</v>
      </c>
      <c r="Z28">
        <v>1</v>
      </c>
      <c r="AA28">
        <v>7.0823178494780106E-2</v>
      </c>
      <c r="AB28">
        <v>0.140511440107671</v>
      </c>
      <c r="AC28">
        <v>1</v>
      </c>
      <c r="AD28">
        <v>3</v>
      </c>
      <c r="AE28">
        <v>341.60919540229798</v>
      </c>
      <c r="AF28">
        <v>1185</v>
      </c>
      <c r="AG28">
        <v>0</v>
      </c>
      <c r="AH28">
        <v>1</v>
      </c>
      <c r="AI28">
        <v>7.0823178494780106E-2</v>
      </c>
      <c r="AJ28">
        <v>0.140511440107671</v>
      </c>
      <c r="AK28">
        <v>1</v>
      </c>
      <c r="AL28">
        <v>1</v>
      </c>
      <c r="AM28">
        <v>341.60919540229798</v>
      </c>
      <c r="AN28">
        <v>1186.46</v>
      </c>
      <c r="AO28">
        <v>1.46</v>
      </c>
      <c r="AP28">
        <v>1</v>
      </c>
      <c r="AQ28">
        <v>0.118473271905304</v>
      </c>
      <c r="AR28">
        <v>0.140511440107671</v>
      </c>
      <c r="AS28">
        <v>0.99180939724073802</v>
      </c>
      <c r="AT28">
        <v>0</v>
      </c>
      <c r="AU28">
        <v>341.60919540229798</v>
      </c>
      <c r="AV28">
        <v>1376.94</v>
      </c>
      <c r="AW28">
        <v>191.94</v>
      </c>
      <c r="AX28">
        <v>0</v>
      </c>
      <c r="AY28">
        <v>0.140511440107671</v>
      </c>
      <c r="AZ28">
        <v>0.140511440107671</v>
      </c>
      <c r="BA28">
        <v>0</v>
      </c>
      <c r="BB28">
        <v>0</v>
      </c>
      <c r="BC28">
        <v>341.60919540229798</v>
      </c>
      <c r="BD28">
        <v>1376.94</v>
      </c>
      <c r="BE28">
        <v>191.94</v>
      </c>
      <c r="BF28">
        <v>0</v>
      </c>
      <c r="BG28">
        <v>0.140511440107671</v>
      </c>
      <c r="BH28">
        <v>0.140511440107671</v>
      </c>
      <c r="BI28">
        <v>0</v>
      </c>
      <c r="BJ28">
        <v>3</v>
      </c>
      <c r="BK28">
        <v>341.60919540229798</v>
      </c>
      <c r="BL28">
        <v>1185</v>
      </c>
      <c r="BM28">
        <v>0</v>
      </c>
      <c r="BN28">
        <v>1</v>
      </c>
      <c r="BO28">
        <v>7.0823178494780106E-2</v>
      </c>
      <c r="BP28">
        <v>0.140511440107671</v>
      </c>
      <c r="BQ28">
        <v>1</v>
      </c>
    </row>
    <row r="29" spans="1:69" x14ac:dyDescent="0.35">
      <c r="A29">
        <v>40</v>
      </c>
      <c r="B29">
        <v>54</v>
      </c>
      <c r="C29">
        <v>130</v>
      </c>
      <c r="D29">
        <v>12</v>
      </c>
      <c r="E29">
        <v>40</v>
      </c>
      <c r="F29">
        <v>3.25</v>
      </c>
      <c r="G29">
        <v>90</v>
      </c>
      <c r="H29">
        <v>1</v>
      </c>
      <c r="I29">
        <v>40</v>
      </c>
      <c r="J29">
        <v>50</v>
      </c>
      <c r="K29">
        <v>0</v>
      </c>
      <c r="L29">
        <v>37</v>
      </c>
      <c r="M29" t="s">
        <v>94</v>
      </c>
      <c r="N29">
        <v>6</v>
      </c>
      <c r="O29">
        <v>20.454499999999999</v>
      </c>
      <c r="P29">
        <v>90</v>
      </c>
      <c r="Q29">
        <v>0</v>
      </c>
      <c r="R29">
        <v>0.61484615384615304</v>
      </c>
      <c r="S29" s="1">
        <v>9.5022624434389097E-5</v>
      </c>
      <c r="T29">
        <v>9.2307692307692299E-2</v>
      </c>
      <c r="U29">
        <v>1</v>
      </c>
      <c r="V29">
        <v>1</v>
      </c>
      <c r="W29">
        <v>130</v>
      </c>
      <c r="X29">
        <v>90</v>
      </c>
      <c r="Y29">
        <v>0</v>
      </c>
      <c r="Z29">
        <v>1</v>
      </c>
      <c r="AA29">
        <v>6.9033530571992102E-2</v>
      </c>
      <c r="AB29">
        <v>9.2307692307692299E-2</v>
      </c>
      <c r="AC29">
        <v>0.96750000000000003</v>
      </c>
      <c r="AD29">
        <v>1</v>
      </c>
      <c r="AE29">
        <v>130</v>
      </c>
      <c r="AF29">
        <v>90</v>
      </c>
      <c r="AG29">
        <v>0</v>
      </c>
      <c r="AH29">
        <v>1</v>
      </c>
      <c r="AI29">
        <v>6.9033530571992102E-2</v>
      </c>
      <c r="AJ29">
        <v>9.2307692307692299E-2</v>
      </c>
      <c r="AK29">
        <v>0.96750000000000003</v>
      </c>
      <c r="AL29">
        <v>1</v>
      </c>
      <c r="AM29">
        <v>130</v>
      </c>
      <c r="AN29">
        <v>90</v>
      </c>
      <c r="AO29">
        <v>0</v>
      </c>
      <c r="AP29">
        <v>1</v>
      </c>
      <c r="AQ29">
        <v>6.9033530571992102E-2</v>
      </c>
      <c r="AR29">
        <v>9.2307692307692299E-2</v>
      </c>
      <c r="AS29">
        <v>0.96750000000000003</v>
      </c>
      <c r="AT29">
        <v>0</v>
      </c>
      <c r="AU29">
        <v>130</v>
      </c>
      <c r="AV29">
        <v>118</v>
      </c>
      <c r="AW29">
        <v>28</v>
      </c>
      <c r="AX29">
        <v>0</v>
      </c>
      <c r="AY29">
        <v>9.2307692307692299E-2</v>
      </c>
      <c r="AZ29">
        <v>9.2307692307692299E-2</v>
      </c>
      <c r="BA29">
        <v>0</v>
      </c>
      <c r="BB29">
        <v>0</v>
      </c>
      <c r="BC29">
        <v>130</v>
      </c>
      <c r="BD29">
        <v>118</v>
      </c>
      <c r="BE29">
        <v>28</v>
      </c>
      <c r="BF29">
        <v>0</v>
      </c>
      <c r="BG29">
        <v>9.2307692307692299E-2</v>
      </c>
      <c r="BH29">
        <v>9.2307692307692299E-2</v>
      </c>
      <c r="BI29">
        <v>0</v>
      </c>
      <c r="BJ29">
        <v>4</v>
      </c>
      <c r="BK29">
        <v>53.174500000000002</v>
      </c>
      <c r="BL29">
        <v>90</v>
      </c>
      <c r="BM29">
        <v>0</v>
      </c>
      <c r="BN29">
        <v>0.85988461538461503</v>
      </c>
      <c r="BO29">
        <v>7.02136752136752E-3</v>
      </c>
      <c r="BP29">
        <v>9.2307692307692299E-2</v>
      </c>
      <c r="BQ29">
        <v>1</v>
      </c>
    </row>
    <row r="30" spans="1:69" x14ac:dyDescent="0.35">
      <c r="A30">
        <v>236</v>
      </c>
      <c r="B30">
        <v>1860</v>
      </c>
      <c r="C30">
        <v>5172</v>
      </c>
      <c r="D30">
        <v>12</v>
      </c>
      <c r="E30">
        <v>40</v>
      </c>
      <c r="F30">
        <v>3.1307506049999998</v>
      </c>
      <c r="G30">
        <v>3520</v>
      </c>
      <c r="H30">
        <v>7</v>
      </c>
      <c r="I30">
        <v>1652</v>
      </c>
      <c r="J30">
        <v>50</v>
      </c>
      <c r="K30">
        <v>0</v>
      </c>
      <c r="L30">
        <v>40</v>
      </c>
      <c r="M30" t="s">
        <v>95</v>
      </c>
      <c r="N30">
        <v>5</v>
      </c>
      <c r="O30">
        <v>112.943813559322</v>
      </c>
      <c r="P30">
        <v>3520</v>
      </c>
      <c r="Q30">
        <v>0</v>
      </c>
      <c r="R30">
        <v>0.76644934261407505</v>
      </c>
      <c r="S30" s="1">
        <v>1.99977902994144E-5</v>
      </c>
      <c r="T30">
        <v>9.5823665893271404E-2</v>
      </c>
      <c r="U30">
        <v>1</v>
      </c>
      <c r="V30">
        <v>2</v>
      </c>
      <c r="W30">
        <v>876.61016949152497</v>
      </c>
      <c r="X30">
        <v>3520</v>
      </c>
      <c r="Y30">
        <v>0</v>
      </c>
      <c r="Z30">
        <v>1</v>
      </c>
      <c r="AA30">
        <v>4.8235437782390998E-2</v>
      </c>
      <c r="AB30">
        <v>9.5823665893271404E-2</v>
      </c>
      <c r="AC30">
        <v>1</v>
      </c>
      <c r="AD30">
        <v>2</v>
      </c>
      <c r="AE30">
        <v>876.61016949152497</v>
      </c>
      <c r="AF30">
        <v>3520</v>
      </c>
      <c r="AG30">
        <v>0</v>
      </c>
      <c r="AH30">
        <v>1</v>
      </c>
      <c r="AI30">
        <v>4.8235437782390998E-2</v>
      </c>
      <c r="AJ30">
        <v>9.5823665893271404E-2</v>
      </c>
      <c r="AK30">
        <v>1</v>
      </c>
      <c r="AL30">
        <v>1</v>
      </c>
      <c r="AM30">
        <v>876.61016949152497</v>
      </c>
      <c r="AN30">
        <v>3520.02</v>
      </c>
      <c r="AO30">
        <v>0.02</v>
      </c>
      <c r="AP30">
        <v>1</v>
      </c>
      <c r="AQ30">
        <v>7.2639657326432197E-2</v>
      </c>
      <c r="AR30">
        <v>9.5823665893271404E-2</v>
      </c>
      <c r="AS30">
        <v>1</v>
      </c>
      <c r="AT30">
        <v>0</v>
      </c>
      <c r="AU30">
        <v>876.61016949152497</v>
      </c>
      <c r="AV30">
        <v>3826.44</v>
      </c>
      <c r="AW30">
        <v>306.44</v>
      </c>
      <c r="AX30">
        <v>0</v>
      </c>
      <c r="AY30">
        <v>9.5823665893271404E-2</v>
      </c>
      <c r="AZ30">
        <v>9.5823665893271404E-2</v>
      </c>
      <c r="BA30">
        <v>0</v>
      </c>
      <c r="BB30">
        <v>0</v>
      </c>
      <c r="BC30">
        <v>876.61016949152497</v>
      </c>
      <c r="BD30">
        <v>3826.44</v>
      </c>
      <c r="BE30">
        <v>306.44</v>
      </c>
      <c r="BF30">
        <v>0</v>
      </c>
      <c r="BG30">
        <v>9.5823665893271404E-2</v>
      </c>
      <c r="BH30">
        <v>9.5823665893271404E-2</v>
      </c>
      <c r="BI30">
        <v>0</v>
      </c>
      <c r="BJ30">
        <v>1</v>
      </c>
      <c r="BK30">
        <v>876.61016949152497</v>
      </c>
      <c r="BL30">
        <v>3520.02</v>
      </c>
      <c r="BM30">
        <v>0.02</v>
      </c>
      <c r="BN30">
        <v>1</v>
      </c>
      <c r="BO30">
        <v>7.2639657326432197E-2</v>
      </c>
      <c r="BP30">
        <v>9.5823665893271404E-2</v>
      </c>
      <c r="BQ30">
        <v>1</v>
      </c>
    </row>
    <row r="31" spans="1:69" x14ac:dyDescent="0.35">
      <c r="A31">
        <v>77</v>
      </c>
      <c r="B31">
        <v>102</v>
      </c>
      <c r="C31">
        <v>172</v>
      </c>
      <c r="D31">
        <v>12</v>
      </c>
      <c r="E31">
        <v>40</v>
      </c>
      <c r="F31">
        <v>2.233766234</v>
      </c>
      <c r="G31">
        <v>95</v>
      </c>
      <c r="H31">
        <v>1</v>
      </c>
      <c r="I31">
        <v>77</v>
      </c>
      <c r="J31">
        <v>50</v>
      </c>
      <c r="K31">
        <v>0</v>
      </c>
      <c r="L31">
        <v>40</v>
      </c>
      <c r="M31" t="s">
        <v>96</v>
      </c>
      <c r="N31">
        <v>8</v>
      </c>
      <c r="O31">
        <v>20.744155844155799</v>
      </c>
      <c r="P31">
        <v>95</v>
      </c>
      <c r="Q31">
        <v>0</v>
      </c>
      <c r="R31">
        <v>0.66758720930232496</v>
      </c>
      <c r="S31">
        <v>9.8110465116278993E-4</v>
      </c>
      <c r="T31">
        <v>0.13430232558139499</v>
      </c>
      <c r="U31">
        <v>1</v>
      </c>
      <c r="V31">
        <v>4</v>
      </c>
      <c r="W31">
        <v>74.897922077922004</v>
      </c>
      <c r="X31">
        <v>95</v>
      </c>
      <c r="Y31">
        <v>0</v>
      </c>
      <c r="Z31">
        <v>0.97232558139534797</v>
      </c>
      <c r="AA31">
        <v>4.1188630490956002E-2</v>
      </c>
      <c r="AB31">
        <v>0.13430232558139499</v>
      </c>
      <c r="AC31">
        <v>1</v>
      </c>
      <c r="AD31">
        <v>4</v>
      </c>
      <c r="AE31">
        <v>74.897922077922004</v>
      </c>
      <c r="AF31">
        <v>95</v>
      </c>
      <c r="AG31">
        <v>0</v>
      </c>
      <c r="AH31">
        <v>0.97232558139534797</v>
      </c>
      <c r="AI31">
        <v>4.1188630490956002E-2</v>
      </c>
      <c r="AJ31">
        <v>0.13430232558139499</v>
      </c>
      <c r="AK31">
        <v>1</v>
      </c>
      <c r="AL31">
        <v>1</v>
      </c>
      <c r="AM31">
        <v>89.350649350649306</v>
      </c>
      <c r="AN31">
        <v>96.3</v>
      </c>
      <c r="AO31">
        <v>1.3</v>
      </c>
      <c r="AP31">
        <v>1</v>
      </c>
      <c r="AQ31">
        <v>0.112104949314251</v>
      </c>
      <c r="AR31">
        <v>0.13430232558139499</v>
      </c>
      <c r="AS31">
        <v>0.91531721145652301</v>
      </c>
      <c r="AT31">
        <v>0</v>
      </c>
      <c r="AU31">
        <v>89.350649350649306</v>
      </c>
      <c r="AV31">
        <v>121.36</v>
      </c>
      <c r="AW31">
        <v>26.36</v>
      </c>
      <c r="AX31">
        <v>0</v>
      </c>
      <c r="AY31">
        <v>0.13430232558139499</v>
      </c>
      <c r="AZ31">
        <v>0.13430232558139499</v>
      </c>
      <c r="BA31">
        <v>0</v>
      </c>
      <c r="BB31">
        <v>0</v>
      </c>
      <c r="BC31">
        <v>89.350649350649306</v>
      </c>
      <c r="BD31">
        <v>121.36</v>
      </c>
      <c r="BE31">
        <v>26.36</v>
      </c>
      <c r="BF31">
        <v>0</v>
      </c>
      <c r="BG31">
        <v>0.13430232558139499</v>
      </c>
      <c r="BH31">
        <v>0.13430232558139499</v>
      </c>
      <c r="BI31">
        <v>0</v>
      </c>
      <c r="BJ31">
        <v>4</v>
      </c>
      <c r="BK31">
        <v>74.897922077922004</v>
      </c>
      <c r="BL31">
        <v>95</v>
      </c>
      <c r="BM31">
        <v>0</v>
      </c>
      <c r="BN31">
        <v>0.97232558139534797</v>
      </c>
      <c r="BO31">
        <v>4.1188630490956002E-2</v>
      </c>
      <c r="BP31">
        <v>0.13430232558139499</v>
      </c>
      <c r="BQ31">
        <v>1</v>
      </c>
    </row>
    <row r="33" spans="1:1" x14ac:dyDescent="0.35">
      <c r="A33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C1888-F38B-46BD-A10D-7E717EF53724}">
  <dimension ref="A1:G29"/>
  <sheetViews>
    <sheetView tabSelected="1" workbookViewId="0">
      <selection activeCell="A2" sqref="A2"/>
    </sheetView>
  </sheetViews>
  <sheetFormatPr defaultRowHeight="14.5" x14ac:dyDescent="0.35"/>
  <cols>
    <col min="1" max="1" width="33.6328125" customWidth="1"/>
    <col min="2" max="2" width="31.7265625" customWidth="1"/>
    <col min="3" max="3" width="32.81640625" customWidth="1"/>
    <col min="4" max="4" width="34.453125" customWidth="1"/>
    <col min="5" max="5" width="42.453125" customWidth="1"/>
    <col min="6" max="6" width="28.36328125" customWidth="1"/>
    <col min="7" max="7" width="31.36328125" customWidth="1"/>
  </cols>
  <sheetData>
    <row r="1" spans="1:7" x14ac:dyDescent="0.35">
      <c r="A1" t="s">
        <v>12</v>
      </c>
      <c r="B1" t="s">
        <v>8</v>
      </c>
      <c r="C1" t="s">
        <v>16</v>
      </c>
      <c r="D1" t="s">
        <v>13</v>
      </c>
      <c r="E1" t="s">
        <v>14</v>
      </c>
      <c r="F1" t="s">
        <v>17</v>
      </c>
      <c r="G1" t="s">
        <v>20</v>
      </c>
    </row>
    <row r="2" spans="1:7" x14ac:dyDescent="0.35">
      <c r="A2" t="str" cm="1">
        <f t="array" ref="A2">INDEX(nrmp_base!$A$4:$BQ$31, ROWS($A$1:A1), MATCH(A$1, nrmp_base!$A$3:$BQ$3, 0))</f>
        <v>Anesthesiology</v>
      </c>
      <c r="B2" cm="1">
        <f t="array" ref="B2">INDEX(nrmp_base!$A$4:$BQ$31, ROWS($A$1:B1), MATCH(B$1, nrmp_base!$A$3:$BQ$3, 0))</f>
        <v>1701</v>
      </c>
      <c r="C2" cm="1">
        <f t="array" ref="C2">INDEX(nrmp_base!$A$4:$BQ$31, ROWS($A$1:C1), MATCH(C$1, nrmp_base!$A$3:$BQ$3, 0))</f>
        <v>0</v>
      </c>
      <c r="D2" cm="1">
        <f t="array" ref="D2">INDEX(nrmp_base!$A$4:$BQ$31, ROWS($A$1:D1), MATCH(D$1, nrmp_base!$A$3:$BQ$3, 0))</f>
        <v>8</v>
      </c>
      <c r="E2" s="3" cm="1">
        <f t="array" ref="E2">INDEX(nrmp_base!$A$4:$BQ$31, ROWS($A$1:E1), MATCH(E$1, nrmp_base!$A$3:$BQ$3, 0))</f>
        <v>143.81037037037001</v>
      </c>
      <c r="F2" s="2" cm="1">
        <f t="array" ref="F2">INDEX(nrmp_base!$A$4:$BQ$31, ROWS($A$1:F1), MATCH(F$1, nrmp_base!$A$3:$BQ$3, 0))</f>
        <v>0.84469008949287305</v>
      </c>
      <c r="G2" s="2" cm="1">
        <f t="array" ref="G2">INDEX(nrmp_base!$A$4:$BQ$31, ROWS($A$1:G1), MATCH(G$1, nrmp_base!$A$3:$BQ$3, 0))</f>
        <v>1</v>
      </c>
    </row>
    <row r="3" spans="1:7" x14ac:dyDescent="0.35">
      <c r="A3" t="str" cm="1">
        <f t="array" ref="A3">INDEX(nrmp_base!$A$4:$BQ$31, ROWS($A$1:A2), MATCH(A$1, nrmp_base!$A$3:$BQ$3, 0))</f>
        <v>Child Neurology</v>
      </c>
      <c r="B3" cm="1">
        <f t="array" ref="B3">INDEX(nrmp_base!$A$4:$BQ$31, ROWS($A$1:B2), MATCH(B$1, nrmp_base!$A$3:$BQ$3, 0))</f>
        <v>156</v>
      </c>
      <c r="C3" cm="1">
        <f t="array" ref="C3">INDEX(nrmp_base!$A$4:$BQ$31, ROWS($A$1:C2), MATCH(C$1, nrmp_base!$A$3:$BQ$3, 0))</f>
        <v>0</v>
      </c>
      <c r="D3" cm="1">
        <f t="array" ref="D3">INDEX(nrmp_base!$A$4:$BQ$31, ROWS($A$1:D2), MATCH(D$1, nrmp_base!$A$3:$BQ$3, 0))</f>
        <v>9</v>
      </c>
      <c r="E3" s="3" cm="1">
        <f t="array" ref="E3">INDEX(nrmp_base!$A$4:$BQ$31, ROWS($A$1:E2), MATCH(E$1, nrmp_base!$A$3:$BQ$3, 0))</f>
        <v>36.276410256410202</v>
      </c>
      <c r="F3" s="2" cm="1">
        <f t="array" ref="F3">INDEX(nrmp_base!$A$4:$BQ$31, ROWS($A$1:F2), MATCH(F$1, nrmp_base!$A$3:$BQ$3, 0))</f>
        <v>0.72560217560217499</v>
      </c>
      <c r="G3" s="2" cm="1">
        <f t="array" ref="G3">INDEX(nrmp_base!$A$4:$BQ$31, ROWS($A$1:G2), MATCH(G$1, nrmp_base!$A$3:$BQ$3, 0))</f>
        <v>1</v>
      </c>
    </row>
    <row r="4" spans="1:7" x14ac:dyDescent="0.35">
      <c r="A4" t="str" cm="1">
        <f t="array" ref="A4">INDEX(nrmp_base!$A$4:$BQ$31, ROWS($A$1:A3), MATCH(A$1, nrmp_base!$A$3:$BQ$3, 0))</f>
        <v>Dermatology</v>
      </c>
      <c r="B4" cm="1">
        <f t="array" ref="B4">INDEX(nrmp_base!$A$4:$BQ$31, ROWS($A$1:B3), MATCH(B$1, nrmp_base!$A$3:$BQ$3, 0))</f>
        <v>28</v>
      </c>
      <c r="C4" cm="1">
        <f t="array" ref="C4">INDEX(nrmp_base!$A$4:$BQ$31, ROWS($A$1:C3), MATCH(C$1, nrmp_base!$A$3:$BQ$3, 0))</f>
        <v>0</v>
      </c>
      <c r="D4" cm="1">
        <f t="array" ref="D4">INDEX(nrmp_base!$A$4:$BQ$31, ROWS($A$1:D3), MATCH(D$1, nrmp_base!$A$3:$BQ$3, 0))</f>
        <v>2</v>
      </c>
      <c r="E4" s="3" cm="1">
        <f t="array" ref="E4">INDEX(nrmp_base!$A$4:$BQ$31, ROWS($A$1:E3), MATCH(E$1, nrmp_base!$A$3:$BQ$3, 0))</f>
        <v>42.714285714285701</v>
      </c>
      <c r="F4" s="2" cm="1">
        <f t="array" ref="F4">INDEX(nrmp_base!$A$4:$BQ$31, ROWS($A$1:F3), MATCH(F$1, nrmp_base!$A$3:$BQ$3, 0))</f>
        <v>0.56187290969899595</v>
      </c>
      <c r="G4" s="2" cm="1">
        <f t="array" ref="G4">INDEX(nrmp_base!$A$4:$BQ$31, ROWS($A$1:G3), MATCH(G$1, nrmp_base!$A$3:$BQ$3, 0))</f>
        <v>1</v>
      </c>
    </row>
    <row r="5" spans="1:7" x14ac:dyDescent="0.35">
      <c r="A5" t="str" cm="1">
        <f t="array" ref="A5">INDEX(nrmp_base!$A$4:$BQ$31, ROWS($A$1:A4), MATCH(A$1, nrmp_base!$A$3:$BQ$3, 0))</f>
        <v>Emergency Medicine</v>
      </c>
      <c r="B5" cm="1">
        <f t="array" ref="B5">INDEX(nrmp_base!$A$4:$BQ$31, ROWS($A$1:B4), MATCH(B$1, nrmp_base!$A$3:$BQ$3, 0))</f>
        <v>2920</v>
      </c>
      <c r="C5" cm="1">
        <f t="array" ref="C5">INDEX(nrmp_base!$A$4:$BQ$31, ROWS($A$1:C4), MATCH(C$1, nrmp_base!$A$3:$BQ$3, 0))</f>
        <v>0</v>
      </c>
      <c r="D5" cm="1">
        <f t="array" ref="D5">INDEX(nrmp_base!$A$4:$BQ$31, ROWS($A$1:D4), MATCH(D$1, nrmp_base!$A$3:$BQ$3, 0))</f>
        <v>11</v>
      </c>
      <c r="E5" s="3" cm="1">
        <f t="array" ref="E5">INDEX(nrmp_base!$A$4:$BQ$31, ROWS($A$1:E4), MATCH(E$1, nrmp_base!$A$3:$BQ$3, 0))</f>
        <v>150.07095890410901</v>
      </c>
      <c r="F5" s="2" cm="1">
        <f t="array" ref="F5">INDEX(nrmp_base!$A$4:$BQ$31, ROWS($A$1:F4), MATCH(F$1, nrmp_base!$A$3:$BQ$3, 0))</f>
        <v>0.84797277329651399</v>
      </c>
      <c r="G5" s="2" cm="1">
        <f t="array" ref="G5">INDEX(nrmp_base!$A$4:$BQ$31, ROWS($A$1:G4), MATCH(G$1, nrmp_base!$A$3:$BQ$3, 0))</f>
        <v>1</v>
      </c>
    </row>
    <row r="6" spans="1:7" x14ac:dyDescent="0.35">
      <c r="A6" t="str" cm="1">
        <f t="array" ref="A6">INDEX(nrmp_base!$A$4:$BQ$31, ROWS($A$1:A5), MATCH(A$1, nrmp_base!$A$3:$BQ$3, 0))</f>
        <v>Family Medicine</v>
      </c>
      <c r="B6" cm="1">
        <f t="array" ref="B6">INDEX(nrmp_base!$A$4:$BQ$31, ROWS($A$1:B5), MATCH(B$1, nrmp_base!$A$3:$BQ$3, 0))</f>
        <v>4902</v>
      </c>
      <c r="C6" cm="1">
        <f t="array" ref="C6">INDEX(nrmp_base!$A$4:$BQ$31, ROWS($A$1:C5), MATCH(C$1, nrmp_base!$A$3:$BQ$3, 0))</f>
        <v>0.04</v>
      </c>
      <c r="D6" cm="1">
        <f t="array" ref="D6">INDEX(nrmp_base!$A$4:$BQ$31, ROWS($A$1:D5), MATCH(D$1, nrmp_base!$A$3:$BQ$3, 0))</f>
        <v>10</v>
      </c>
      <c r="E6" s="3" cm="1">
        <f t="array" ref="E6">INDEX(nrmp_base!$A$4:$BQ$31, ROWS($A$1:E5), MATCH(E$1, nrmp_base!$A$3:$BQ$3, 0))</f>
        <v>95.951627906976697</v>
      </c>
      <c r="F6" s="2" cm="1">
        <f t="array" ref="F6">INDEX(nrmp_base!$A$4:$BQ$31, ROWS($A$1:F5), MATCH(F$1, nrmp_base!$A$3:$BQ$3, 0))</f>
        <v>0.80083085729862302</v>
      </c>
      <c r="G6" s="2" cm="1">
        <f t="array" ref="G6">INDEX(nrmp_base!$A$4:$BQ$31, ROWS($A$1:G5), MATCH(G$1, nrmp_base!$A$3:$BQ$3, 0))</f>
        <v>1</v>
      </c>
    </row>
    <row r="7" spans="1:7" x14ac:dyDescent="0.35">
      <c r="A7" t="str" cm="1">
        <f t="array" ref="A7">INDEX(nrmp_base!$A$4:$BQ$31, ROWS($A$1:A6), MATCH(A$1, nrmp_base!$A$3:$BQ$3, 0))</f>
        <v>Internal Medicine (Categorical)</v>
      </c>
      <c r="B7" cm="1">
        <f t="array" ref="B7">INDEX(nrmp_base!$A$4:$BQ$31, ROWS($A$1:B6), MATCH(B$1, nrmp_base!$A$3:$BQ$3, 0))</f>
        <v>10612</v>
      </c>
      <c r="C7" cm="1">
        <f t="array" ref="C7">INDEX(nrmp_base!$A$4:$BQ$31, ROWS($A$1:C6), MATCH(C$1, nrmp_base!$A$3:$BQ$3, 0))</f>
        <v>0</v>
      </c>
      <c r="D7" cm="1">
        <f t="array" ref="D7">INDEX(nrmp_base!$A$4:$BQ$31, ROWS($A$1:D6), MATCH(D$1, nrmp_base!$A$3:$BQ$3, 0))</f>
        <v>9</v>
      </c>
      <c r="E7" s="3" cm="1">
        <f t="array" ref="E7">INDEX(nrmp_base!$A$4:$BQ$31, ROWS($A$1:E6), MATCH(E$1, nrmp_base!$A$3:$BQ$3, 0))</f>
        <v>206.49390501319201</v>
      </c>
      <c r="F7" s="2" cm="1">
        <f t="array" ref="F7">INDEX(nrmp_base!$A$4:$BQ$31, ROWS($A$1:F6), MATCH(F$1, nrmp_base!$A$3:$BQ$3, 0))</f>
        <v>0.82585228857366999</v>
      </c>
      <c r="G7" s="2" cm="1">
        <f t="array" ref="G7">INDEX(nrmp_base!$A$4:$BQ$31, ROWS($A$1:G6), MATCH(G$1, nrmp_base!$A$3:$BQ$3, 0))</f>
        <v>1</v>
      </c>
    </row>
    <row r="8" spans="1:7" x14ac:dyDescent="0.35">
      <c r="A8" t="str" cm="1">
        <f t="array" ref="A8">INDEX(nrmp_base!$A$4:$BQ$31, ROWS($A$1:A7), MATCH(A$1, nrmp_base!$A$3:$BQ$3, 0))</f>
        <v>Medicine-Emergency Med</v>
      </c>
      <c r="B8" cm="1">
        <f t="array" ref="B8">INDEX(nrmp_base!$A$4:$BQ$31, ROWS($A$1:B7), MATCH(B$1, nrmp_base!$A$3:$BQ$3, 0))</f>
        <v>26</v>
      </c>
      <c r="C8" cm="1">
        <f t="array" ref="C8">INDEX(nrmp_base!$A$4:$BQ$31, ROWS($A$1:C7), MATCH(C$1, nrmp_base!$A$3:$BQ$3, 0))</f>
        <v>0</v>
      </c>
      <c r="D8" cm="1">
        <f t="array" ref="D8">INDEX(nrmp_base!$A$4:$BQ$31, ROWS($A$1:D7), MATCH(D$1, nrmp_base!$A$3:$BQ$3, 0))</f>
        <v>4</v>
      </c>
      <c r="E8" s="3" cm="1">
        <f t="array" ref="E8">INDEX(nrmp_base!$A$4:$BQ$31, ROWS($A$1:E7), MATCH(E$1, nrmp_base!$A$3:$BQ$3, 0))</f>
        <v>36.021538461538398</v>
      </c>
      <c r="F8" s="2" cm="1">
        <f t="array" ref="F8">INDEX(nrmp_base!$A$4:$BQ$31, ROWS($A$1:F7), MATCH(F$1, nrmp_base!$A$3:$BQ$3, 0))</f>
        <v>0.70736363636363597</v>
      </c>
      <c r="G8" s="2" cm="1">
        <f t="array" ref="G8">INDEX(nrmp_base!$A$4:$BQ$31, ROWS($A$1:G7), MATCH(G$1, nrmp_base!$A$3:$BQ$3, 0))</f>
        <v>1</v>
      </c>
    </row>
    <row r="9" spans="1:7" x14ac:dyDescent="0.35">
      <c r="A9" t="str" cm="1">
        <f t="array" ref="A9">INDEX(nrmp_base!$A$4:$BQ$31, ROWS($A$1:A8), MATCH(A$1, nrmp_base!$A$3:$BQ$3, 0))</f>
        <v>Medicine-Pediatrics</v>
      </c>
      <c r="B9" cm="1">
        <f t="array" ref="B9">INDEX(nrmp_base!$A$4:$BQ$31, ROWS($A$1:B8), MATCH(B$1, nrmp_base!$A$3:$BQ$3, 0))</f>
        <v>395</v>
      </c>
      <c r="C9" cm="1">
        <f t="array" ref="C9">INDEX(nrmp_base!$A$4:$BQ$31, ROWS($A$1:C8), MATCH(C$1, nrmp_base!$A$3:$BQ$3, 0))</f>
        <v>0</v>
      </c>
      <c r="D9" cm="1">
        <f t="array" ref="D9">INDEX(nrmp_base!$A$4:$BQ$31, ROWS($A$1:D8), MATCH(D$1, nrmp_base!$A$3:$BQ$3, 0))</f>
        <v>10</v>
      </c>
      <c r="E9" s="3" cm="1">
        <f t="array" ref="E9">INDEX(nrmp_base!$A$4:$BQ$31, ROWS($A$1:E8), MATCH(E$1, nrmp_base!$A$3:$BQ$3, 0))</f>
        <v>79.759999999999906</v>
      </c>
      <c r="F9" s="2" cm="1">
        <f t="array" ref="F9">INDEX(nrmp_base!$A$4:$BQ$31, ROWS($A$1:F8), MATCH(F$1, nrmp_base!$A$3:$BQ$3, 0))</f>
        <v>0.79069115191986605</v>
      </c>
      <c r="G9" s="2" cm="1">
        <f t="array" ref="G9">INDEX(nrmp_base!$A$4:$BQ$31, ROWS($A$1:G8), MATCH(G$1, nrmp_base!$A$3:$BQ$3, 0))</f>
        <v>1</v>
      </c>
    </row>
    <row r="10" spans="1:7" x14ac:dyDescent="0.35">
      <c r="A10" t="str" cm="1">
        <f t="array" ref="A10">INDEX(nrmp_base!$A$4:$BQ$31, ROWS($A$1:A9), MATCH(A$1, nrmp_base!$A$3:$BQ$3, 0))</f>
        <v>Medicine-Preliminary (PGY-1 Only)</v>
      </c>
      <c r="B10" cm="1">
        <f t="array" ref="B10">INDEX(nrmp_base!$A$4:$BQ$31, ROWS($A$1:B9), MATCH(B$1, nrmp_base!$A$3:$BQ$3, 0))</f>
        <v>1316</v>
      </c>
      <c r="C10" cm="1">
        <f t="array" ref="C10">INDEX(nrmp_base!$A$4:$BQ$31, ROWS($A$1:C9), MATCH(C$1, nrmp_base!$A$3:$BQ$3, 0))</f>
        <v>0</v>
      </c>
      <c r="D10" cm="1">
        <f t="array" ref="D10">INDEX(nrmp_base!$A$4:$BQ$31, ROWS($A$1:D9), MATCH(D$1, nrmp_base!$A$3:$BQ$3, 0))</f>
        <v>4</v>
      </c>
      <c r="E10" s="3" cm="1">
        <f t="array" ref="E10">INDEX(nrmp_base!$A$4:$BQ$31, ROWS($A$1:E9), MATCH(E$1, nrmp_base!$A$3:$BQ$3, 0))</f>
        <v>72.985896656534905</v>
      </c>
      <c r="F10" s="2" cm="1">
        <f t="array" ref="F10">INDEX(nrmp_base!$A$4:$BQ$31, ROWS($A$1:F9), MATCH(F$1, nrmp_base!$A$3:$BQ$3, 0))</f>
        <v>0.66195087189805402</v>
      </c>
      <c r="G10" s="2" cm="1">
        <f t="array" ref="G10">INDEX(nrmp_base!$A$4:$BQ$31, ROWS($A$1:G9), MATCH(G$1, nrmp_base!$A$3:$BQ$3, 0))</f>
        <v>1</v>
      </c>
    </row>
    <row r="11" spans="1:7" x14ac:dyDescent="0.35">
      <c r="A11" t="str" cm="1">
        <f t="array" ref="A11">INDEX(nrmp_base!$A$4:$BQ$31, ROWS($A$1:A10), MATCH(A$1, nrmp_base!$A$3:$BQ$3, 0))</f>
        <v>Medicine-Primary</v>
      </c>
      <c r="B11" cm="1">
        <f t="array" ref="B11">INDEX(nrmp_base!$A$4:$BQ$31, ROWS($A$1:B10), MATCH(B$1, nrmp_base!$A$3:$BQ$3, 0))</f>
        <v>364</v>
      </c>
      <c r="C11" cm="1">
        <f t="array" ref="C11">INDEX(nrmp_base!$A$4:$BQ$31, ROWS($A$1:C10), MATCH(C$1, nrmp_base!$A$3:$BQ$3, 0))</f>
        <v>0</v>
      </c>
      <c r="D11" cm="1">
        <f t="array" ref="D11">INDEX(nrmp_base!$A$4:$BQ$31, ROWS($A$1:D10), MATCH(D$1, nrmp_base!$A$3:$BQ$3, 0))</f>
        <v>3</v>
      </c>
      <c r="E11" s="3" cm="1">
        <f t="array" ref="E11">INDEX(nrmp_base!$A$4:$BQ$31, ROWS($A$1:E10), MATCH(E$1, nrmp_base!$A$3:$BQ$3, 0))</f>
        <v>71.911648351648296</v>
      </c>
      <c r="F11" s="2" cm="1">
        <f t="array" ref="F11">INDEX(nrmp_base!$A$4:$BQ$31, ROWS($A$1:F10), MATCH(F$1, nrmp_base!$A$3:$BQ$3, 0))</f>
        <v>0.68222118088097405</v>
      </c>
      <c r="G11" s="2" cm="1">
        <f t="array" ref="G11">INDEX(nrmp_base!$A$4:$BQ$31, ROWS($A$1:G10), MATCH(G$1, nrmp_base!$A$3:$BQ$3, 0))</f>
        <v>1</v>
      </c>
    </row>
    <row r="12" spans="1:7" x14ac:dyDescent="0.35">
      <c r="A12" t="str" cm="1">
        <f t="array" ref="A12">INDEX(nrmp_base!$A$4:$BQ$31, ROWS($A$1:A11), MATCH(A$1, nrmp_base!$A$3:$BQ$3, 0))</f>
        <v>Interventional Radiology (Integrated)</v>
      </c>
      <c r="B12" cm="1">
        <f t="array" ref="B12">INDEX(nrmp_base!$A$4:$BQ$31, ROWS($A$1:B11), MATCH(B$1, nrmp_base!$A$3:$BQ$3, 0))</f>
        <v>27</v>
      </c>
      <c r="C12" cm="1">
        <f t="array" ref="C12">INDEX(nrmp_base!$A$4:$BQ$31, ROWS($A$1:C11), MATCH(C$1, nrmp_base!$A$3:$BQ$3, 0))</f>
        <v>0</v>
      </c>
      <c r="D12" cm="1">
        <f t="array" ref="D12">INDEX(nrmp_base!$A$4:$BQ$31, ROWS($A$1:D11), MATCH(D$1, nrmp_base!$A$3:$BQ$3, 0))</f>
        <v>2</v>
      </c>
      <c r="E12" s="3" cm="1">
        <f t="array" ref="E12">INDEX(nrmp_base!$A$4:$BQ$31, ROWS($A$1:E11), MATCH(E$1, nrmp_base!$A$3:$BQ$3, 0))</f>
        <v>22.148148148148099</v>
      </c>
      <c r="F12" s="2" cm="1">
        <f t="array" ref="F12">INDEX(nrmp_base!$A$4:$BQ$31, ROWS($A$1:F11), MATCH(F$1, nrmp_base!$A$3:$BQ$3, 0))</f>
        <v>0.54180602006688905</v>
      </c>
      <c r="G12" s="2" cm="1">
        <f t="array" ref="G12">INDEX(nrmp_base!$A$4:$BQ$31, ROWS($A$1:G11), MATCH(G$1, nrmp_base!$A$3:$BQ$3, 0))</f>
        <v>1</v>
      </c>
    </row>
    <row r="13" spans="1:7" x14ac:dyDescent="0.35">
      <c r="A13" t="str" cm="1">
        <f t="array" ref="A13">INDEX(nrmp_base!$A$4:$BQ$31, ROWS($A$1:A12), MATCH(A$1, nrmp_base!$A$3:$BQ$3, 0))</f>
        <v>Neurological Surgery</v>
      </c>
      <c r="B13" cm="1">
        <f t="array" ref="B13">INDEX(nrmp_base!$A$4:$BQ$31, ROWS($A$1:B12), MATCH(B$1, nrmp_base!$A$3:$BQ$3, 0))</f>
        <v>242</v>
      </c>
      <c r="C13" cm="1">
        <f t="array" ref="C13">INDEX(nrmp_base!$A$4:$BQ$31, ROWS($A$1:C12), MATCH(C$1, nrmp_base!$A$3:$BQ$3, 0))</f>
        <v>0</v>
      </c>
      <c r="D13" cm="1">
        <f t="array" ref="D13">INDEX(nrmp_base!$A$4:$BQ$31, ROWS($A$1:D12), MATCH(D$1, nrmp_base!$A$3:$BQ$3, 0))</f>
        <v>9</v>
      </c>
      <c r="E13" s="3" cm="1">
        <f t="array" ref="E13">INDEX(nrmp_base!$A$4:$BQ$31, ROWS($A$1:E12), MATCH(E$1, nrmp_base!$A$3:$BQ$3, 0))</f>
        <v>36.7629752066115</v>
      </c>
      <c r="F13" s="2" cm="1">
        <f t="array" ref="F13">INDEX(nrmp_base!$A$4:$BQ$31, ROWS($A$1:F12), MATCH(F$1, nrmp_base!$A$3:$BQ$3, 0))</f>
        <v>0.67722222222222195</v>
      </c>
      <c r="G13" s="2" cm="1">
        <f t="array" ref="G13">INDEX(nrmp_base!$A$4:$BQ$31, ROWS($A$1:G12), MATCH(G$1, nrmp_base!$A$3:$BQ$3, 0))</f>
        <v>1</v>
      </c>
    </row>
    <row r="14" spans="1:7" x14ac:dyDescent="0.35">
      <c r="A14" t="str" cm="1">
        <f t="array" ref="A14">INDEX(nrmp_base!$A$4:$BQ$31, ROWS($A$1:A13), MATCH(A$1, nrmp_base!$A$3:$BQ$3, 0))</f>
        <v>Neurology</v>
      </c>
      <c r="B14" cm="1">
        <f t="array" ref="B14">INDEX(nrmp_base!$A$4:$BQ$31, ROWS($A$1:B13), MATCH(B$1, nrmp_base!$A$3:$BQ$3, 0))</f>
        <v>795</v>
      </c>
      <c r="C14" cm="1">
        <f t="array" ref="C14">INDEX(nrmp_base!$A$4:$BQ$31, ROWS($A$1:C13), MATCH(C$1, nrmp_base!$A$3:$BQ$3, 0))</f>
        <v>0</v>
      </c>
      <c r="D14" cm="1">
        <f t="array" ref="D14">INDEX(nrmp_base!$A$4:$BQ$31, ROWS($A$1:D13), MATCH(D$1, nrmp_base!$A$3:$BQ$3, 0))</f>
        <v>7</v>
      </c>
      <c r="E14" s="3" cm="1">
        <f t="array" ref="E14">INDEX(nrmp_base!$A$4:$BQ$31, ROWS($A$1:E13), MATCH(E$1, nrmp_base!$A$3:$BQ$3, 0))</f>
        <v>82.048301886792402</v>
      </c>
      <c r="F14" s="2" cm="1">
        <f t="array" ref="F14">INDEX(nrmp_base!$A$4:$BQ$31, ROWS($A$1:F13), MATCH(F$1, nrmp_base!$A$3:$BQ$3, 0))</f>
        <v>0.76693854568854503</v>
      </c>
      <c r="G14" s="2" cm="1">
        <f t="array" ref="G14">INDEX(nrmp_base!$A$4:$BQ$31, ROWS($A$1:G13), MATCH(G$1, nrmp_base!$A$3:$BQ$3, 0))</f>
        <v>1</v>
      </c>
    </row>
    <row r="15" spans="1:7" x14ac:dyDescent="0.35">
      <c r="A15" t="str" cm="1">
        <f t="array" ref="A15">INDEX(nrmp_base!$A$4:$BQ$31, ROWS($A$1:A14), MATCH(A$1, nrmp_base!$A$3:$BQ$3, 0))</f>
        <v>Obstetrics-Gynecology</v>
      </c>
      <c r="B15" cm="1">
        <f t="array" ref="B15">INDEX(nrmp_base!$A$4:$BQ$31, ROWS($A$1:B14), MATCH(B$1, nrmp_base!$A$3:$BQ$3, 0))</f>
        <v>1475</v>
      </c>
      <c r="C15" cm="1">
        <f t="array" ref="C15">INDEX(nrmp_base!$A$4:$BQ$31, ROWS($A$1:C14), MATCH(C$1, nrmp_base!$A$3:$BQ$3, 0))</f>
        <v>0.26</v>
      </c>
      <c r="D15" cm="1">
        <f t="array" ref="D15">INDEX(nrmp_base!$A$4:$BQ$31, ROWS($A$1:D14), MATCH(D$1, nrmp_base!$A$3:$BQ$3, 0))</f>
        <v>11</v>
      </c>
      <c r="E15" s="3" cm="1">
        <f t="array" ref="E15">INDEX(nrmp_base!$A$4:$BQ$31, ROWS($A$1:E14), MATCH(E$1, nrmp_base!$A$3:$BQ$3, 0))</f>
        <v>81.575457627118595</v>
      </c>
      <c r="F15" s="2" cm="1">
        <f t="array" ref="F15">INDEX(nrmp_base!$A$4:$BQ$31, ROWS($A$1:F14), MATCH(F$1, nrmp_base!$A$3:$BQ$3, 0))</f>
        <v>0.74781792823633797</v>
      </c>
      <c r="G15" s="2" cm="1">
        <f t="array" ref="G15">INDEX(nrmp_base!$A$4:$BQ$31, ROWS($A$1:G14), MATCH(G$1, nrmp_base!$A$3:$BQ$3, 0))</f>
        <v>1</v>
      </c>
    </row>
    <row r="16" spans="1:7" x14ac:dyDescent="0.35">
      <c r="A16" t="str" cm="1">
        <f t="array" ref="A16">INDEX(nrmp_base!$A$4:$BQ$31, ROWS($A$1:A15), MATCH(A$1, nrmp_base!$A$3:$BQ$3, 0))</f>
        <v>Orthopaedic Surgery</v>
      </c>
      <c r="B16" cm="1">
        <f t="array" ref="B16">INDEX(nrmp_base!$A$4:$BQ$31, ROWS($A$1:B15), MATCH(B$1, nrmp_base!$A$3:$BQ$3, 0))</f>
        <v>864</v>
      </c>
      <c r="C16" cm="1">
        <f t="array" ref="C16">INDEX(nrmp_base!$A$4:$BQ$31, ROWS($A$1:C15), MATCH(C$1, nrmp_base!$A$3:$BQ$3, 0))</f>
        <v>0</v>
      </c>
      <c r="D16" cm="1">
        <f t="array" ref="D16">INDEX(nrmp_base!$A$4:$BQ$31, ROWS($A$1:D15), MATCH(D$1, nrmp_base!$A$3:$BQ$3, 0))</f>
        <v>9</v>
      </c>
      <c r="E16" s="3" cm="1">
        <f t="array" ref="E16">INDEX(nrmp_base!$A$4:$BQ$31, ROWS($A$1:E15), MATCH(E$1, nrmp_base!$A$3:$BQ$3, 0))</f>
        <v>67.516574074074001</v>
      </c>
      <c r="F16" s="2" cm="1">
        <f t="array" ref="F16">INDEX(nrmp_base!$A$4:$BQ$31, ROWS($A$1:F15), MATCH(F$1, nrmp_base!$A$3:$BQ$3, 0))</f>
        <v>0.72433682739343097</v>
      </c>
      <c r="G16" s="2" cm="1">
        <f t="array" ref="G16">INDEX(nrmp_base!$A$4:$BQ$31, ROWS($A$1:G15), MATCH(G$1, nrmp_base!$A$3:$BQ$3, 0))</f>
        <v>1</v>
      </c>
    </row>
    <row r="17" spans="1:7" x14ac:dyDescent="0.35">
      <c r="A17" t="str" cm="1">
        <f t="array" ref="A17">INDEX(nrmp_base!$A$4:$BQ$31, ROWS($A$1:A16), MATCH(A$1, nrmp_base!$A$3:$BQ$3, 0))</f>
        <v>Otolaryngology</v>
      </c>
      <c r="B17" cm="1">
        <f t="array" ref="B17">INDEX(nrmp_base!$A$4:$BQ$31, ROWS($A$1:B16), MATCH(B$1, nrmp_base!$A$3:$BQ$3, 0))</f>
        <v>278</v>
      </c>
      <c r="C17" cm="1">
        <f t="array" ref="C17">INDEX(nrmp_base!$A$4:$BQ$31, ROWS($A$1:C16), MATCH(C$1, nrmp_base!$A$3:$BQ$3, 0))</f>
        <v>0</v>
      </c>
      <c r="D17" cm="1">
        <f t="array" ref="D17">INDEX(nrmp_base!$A$4:$BQ$31, ROWS($A$1:D16), MATCH(D$1, nrmp_base!$A$3:$BQ$3, 0))</f>
        <v>9</v>
      </c>
      <c r="E17" s="3" cm="1">
        <f t="array" ref="E17">INDEX(nrmp_base!$A$4:$BQ$31, ROWS($A$1:E16), MATCH(E$1, nrmp_base!$A$3:$BQ$3, 0))</f>
        <v>37.365179856115098</v>
      </c>
      <c r="F17" s="2" cm="1">
        <f t="array" ref="F17">INDEX(nrmp_base!$A$4:$BQ$31, ROWS($A$1:F16), MATCH(F$1, nrmp_base!$A$3:$BQ$3, 0))</f>
        <v>0.67076489533011197</v>
      </c>
      <c r="G17" s="2" cm="1">
        <f t="array" ref="G17">INDEX(nrmp_base!$A$4:$BQ$31, ROWS($A$1:G16), MATCH(G$1, nrmp_base!$A$3:$BQ$3, 0))</f>
        <v>1</v>
      </c>
    </row>
    <row r="18" spans="1:7" x14ac:dyDescent="0.35">
      <c r="A18" t="str" cm="1">
        <f t="array" ref="A18">INDEX(nrmp_base!$A$4:$BQ$31, ROWS($A$1:A17), MATCH(A$1, nrmp_base!$A$3:$BQ$3, 0))</f>
        <v>Pathology</v>
      </c>
      <c r="B18" cm="1">
        <f t="array" ref="B18">INDEX(nrmp_base!$A$4:$BQ$31, ROWS($A$1:B17), MATCH(B$1, nrmp_base!$A$3:$BQ$3, 0))</f>
        <v>525</v>
      </c>
      <c r="C18" cm="1">
        <f t="array" ref="C18">INDEX(nrmp_base!$A$4:$BQ$31, ROWS($A$1:C17), MATCH(C$1, nrmp_base!$A$3:$BQ$3, 0))</f>
        <v>0</v>
      </c>
      <c r="D18" cm="1">
        <f t="array" ref="D18">INDEX(nrmp_base!$A$4:$BQ$31, ROWS($A$1:D17), MATCH(D$1, nrmp_base!$A$3:$BQ$3, 0))</f>
        <v>9</v>
      </c>
      <c r="E18" s="3" cm="1">
        <f t="array" ref="E18">INDEX(nrmp_base!$A$4:$BQ$31, ROWS($A$1:E17), MATCH(E$1, nrmp_base!$A$3:$BQ$3, 0))</f>
        <v>53.214285714285701</v>
      </c>
      <c r="F18" s="2" cm="1">
        <f t="array" ref="F18">INDEX(nrmp_base!$A$4:$BQ$31, ROWS($A$1:F17), MATCH(F$1, nrmp_base!$A$3:$BQ$3, 0))</f>
        <v>0.68738703339882101</v>
      </c>
      <c r="G18" s="2" cm="1">
        <f t="array" ref="G18">INDEX(nrmp_base!$A$4:$BQ$31, ROWS($A$1:G17), MATCH(G$1, nrmp_base!$A$3:$BQ$3, 0))</f>
        <v>1</v>
      </c>
    </row>
    <row r="19" spans="1:7" x14ac:dyDescent="0.35">
      <c r="A19" t="str" cm="1">
        <f t="array" ref="A19">INDEX(nrmp_base!$A$4:$BQ$31, ROWS($A$1:A18), MATCH(A$1, nrmp_base!$A$3:$BQ$3, 0))</f>
        <v>Pediatrics (Categorical)</v>
      </c>
      <c r="B19" cm="1">
        <f t="array" ref="B19">INDEX(nrmp_base!$A$4:$BQ$31, ROWS($A$1:B18), MATCH(B$1, nrmp_base!$A$3:$BQ$3, 0))</f>
        <v>3000</v>
      </c>
      <c r="C19" cm="1">
        <f t="array" ref="C19">INDEX(nrmp_base!$A$4:$BQ$31, ROWS($A$1:C18), MATCH(C$1, nrmp_base!$A$3:$BQ$3, 0))</f>
        <v>0</v>
      </c>
      <c r="D19" cm="1">
        <f t="array" ref="D19">INDEX(nrmp_base!$A$4:$BQ$31, ROWS($A$1:D18), MATCH(D$1, nrmp_base!$A$3:$BQ$3, 0))</f>
        <v>11</v>
      </c>
      <c r="E19" s="3" cm="1">
        <f t="array" ref="E19">INDEX(nrmp_base!$A$4:$BQ$31, ROWS($A$1:E18), MATCH(E$1, nrmp_base!$A$3:$BQ$3, 0))</f>
        <v>177.81343999999899</v>
      </c>
      <c r="F19" s="2" cm="1">
        <f t="array" ref="F19">INDEX(nrmp_base!$A$4:$BQ$31, ROWS($A$1:F18), MATCH(F$1, nrmp_base!$A$3:$BQ$3, 0))</f>
        <v>0.81849379235072095</v>
      </c>
      <c r="G19" s="2" cm="1">
        <f t="array" ref="G19">INDEX(nrmp_base!$A$4:$BQ$31, ROWS($A$1:G18), MATCH(G$1, nrmp_base!$A$3:$BQ$3, 0))</f>
        <v>1</v>
      </c>
    </row>
    <row r="20" spans="1:7" x14ac:dyDescent="0.35">
      <c r="A20" t="str" cm="1">
        <f t="array" ref="A20">INDEX(nrmp_base!$A$4:$BQ$31, ROWS($A$1:A19), MATCH(A$1, nrmp_base!$A$3:$BQ$3, 0))</f>
        <v>Pediatrics-Primary</v>
      </c>
      <c r="B20" cm="1">
        <f t="array" ref="B20">INDEX(nrmp_base!$A$4:$BQ$31, ROWS($A$1:B19), MATCH(B$1, nrmp_base!$A$3:$BQ$3, 0))</f>
        <v>48</v>
      </c>
      <c r="C20" cm="1">
        <f t="array" ref="C20">INDEX(nrmp_base!$A$4:$BQ$31, ROWS($A$1:C19), MATCH(C$1, nrmp_base!$A$3:$BQ$3, 0))</f>
        <v>0</v>
      </c>
      <c r="D20" cm="1">
        <f t="array" ref="D20">INDEX(nrmp_base!$A$4:$BQ$31, ROWS($A$1:D19), MATCH(D$1, nrmp_base!$A$3:$BQ$3, 0))</f>
        <v>2</v>
      </c>
      <c r="E20" s="3" cm="1">
        <f t="array" ref="E20">INDEX(nrmp_base!$A$4:$BQ$31, ROWS($A$1:E19), MATCH(E$1, nrmp_base!$A$3:$BQ$3, 0))</f>
        <v>100.166666666666</v>
      </c>
      <c r="F20" s="2" cm="1">
        <f t="array" ref="F20">INDEX(nrmp_base!$A$4:$BQ$31, ROWS($A$1:F19), MATCH(F$1, nrmp_base!$A$3:$BQ$3, 0))</f>
        <v>0.479201331114808</v>
      </c>
      <c r="G20" s="2" cm="1">
        <f t="array" ref="G20">INDEX(nrmp_base!$A$4:$BQ$31, ROWS($A$1:G19), MATCH(G$1, nrmp_base!$A$3:$BQ$3, 0))</f>
        <v>1</v>
      </c>
    </row>
    <row r="21" spans="1:7" x14ac:dyDescent="0.35">
      <c r="A21" t="str" cm="1">
        <f t="array" ref="A21">INDEX(nrmp_base!$A$4:$BQ$31, ROWS($A$1:A20), MATCH(A$1, nrmp_base!$A$3:$BQ$3, 0))</f>
        <v>Physical Medicine &amp; Rehab</v>
      </c>
      <c r="B21" cm="1">
        <f t="array" ref="B21">INDEX(nrmp_base!$A$4:$BQ$31, ROWS($A$1:B20), MATCH(B$1, nrmp_base!$A$3:$BQ$3, 0))</f>
        <v>220</v>
      </c>
      <c r="C21" cm="1">
        <f t="array" ref="C21">INDEX(nrmp_base!$A$4:$BQ$31, ROWS($A$1:C20), MATCH(C$1, nrmp_base!$A$3:$BQ$3, 0))</f>
        <v>0</v>
      </c>
      <c r="D21" cm="1">
        <f t="array" ref="D21">INDEX(nrmp_base!$A$4:$BQ$31, ROWS($A$1:D20), MATCH(D$1, nrmp_base!$A$3:$BQ$3, 0))</f>
        <v>5</v>
      </c>
      <c r="E21" s="3" cm="1">
        <f t="array" ref="E21">INDEX(nrmp_base!$A$4:$BQ$31, ROWS($A$1:E20), MATCH(E$1, nrmp_base!$A$3:$BQ$3, 0))</f>
        <v>71.324727272727202</v>
      </c>
      <c r="F21" s="2" cm="1">
        <f t="array" ref="F21">INDEX(nrmp_base!$A$4:$BQ$31, ROWS($A$1:F20), MATCH(F$1, nrmp_base!$A$3:$BQ$3, 0))</f>
        <v>0.67516112531969297</v>
      </c>
      <c r="G21" s="2" cm="1">
        <f t="array" ref="G21">INDEX(nrmp_base!$A$4:$BQ$31, ROWS($A$1:G20), MATCH(G$1, nrmp_base!$A$3:$BQ$3, 0))</f>
        <v>1</v>
      </c>
    </row>
    <row r="22" spans="1:7" x14ac:dyDescent="0.35">
      <c r="A22" t="str" cm="1">
        <f t="array" ref="A22">INDEX(nrmp_base!$A$4:$BQ$31, ROWS($A$1:A21), MATCH(A$1, nrmp_base!$A$3:$BQ$3, 0))</f>
        <v>Plastic Surgery (Integrated)</v>
      </c>
      <c r="B22" cm="1">
        <f t="array" ref="B22">INDEX(nrmp_base!$A$4:$BQ$31, ROWS($A$1:B21), MATCH(B$1, nrmp_base!$A$3:$BQ$3, 0))</f>
        <v>182</v>
      </c>
      <c r="C22" cm="1">
        <f t="array" ref="C22">INDEX(nrmp_base!$A$4:$BQ$31, ROWS($A$1:C21), MATCH(C$1, nrmp_base!$A$3:$BQ$3, 0))</f>
        <v>0</v>
      </c>
      <c r="D22" cm="1">
        <f t="array" ref="D22">INDEX(nrmp_base!$A$4:$BQ$31, ROWS($A$1:D21), MATCH(D$1, nrmp_base!$A$3:$BQ$3, 0))</f>
        <v>8</v>
      </c>
      <c r="E22" s="3" cm="1">
        <f t="array" ref="E22">INDEX(nrmp_base!$A$4:$BQ$31, ROWS($A$1:E21), MATCH(E$1, nrmp_base!$A$3:$BQ$3, 0))</f>
        <v>37.309890109890098</v>
      </c>
      <c r="F22" s="2" cm="1">
        <f t="array" ref="F22">INDEX(nrmp_base!$A$4:$BQ$31, ROWS($A$1:F21), MATCH(F$1, nrmp_base!$A$3:$BQ$3, 0))</f>
        <v>0.68844065656565601</v>
      </c>
      <c r="G22" s="2" cm="1">
        <f t="array" ref="G22">INDEX(nrmp_base!$A$4:$BQ$31, ROWS($A$1:G21), MATCH(G$1, nrmp_base!$A$3:$BQ$3, 0))</f>
        <v>1</v>
      </c>
    </row>
    <row r="23" spans="1:7" x14ac:dyDescent="0.35">
      <c r="A23" t="str" cm="1">
        <f t="array" ref="A23">INDEX(nrmp_base!$A$4:$BQ$31, ROWS($A$1:A22), MATCH(A$1, nrmp_base!$A$3:$BQ$3, 0))</f>
        <v>Psychiatry</v>
      </c>
      <c r="B23" cm="1">
        <f t="array" ref="B23">INDEX(nrmp_base!$A$4:$BQ$31, ROWS($A$1:B22), MATCH(B$1, nrmp_base!$A$3:$BQ$3, 0))</f>
        <v>2020</v>
      </c>
      <c r="C23" cm="1">
        <f t="array" ref="C23">INDEX(nrmp_base!$A$4:$BQ$31, ROWS($A$1:C22), MATCH(C$1, nrmp_base!$A$3:$BQ$3, 0))</f>
        <v>0.04</v>
      </c>
      <c r="D23" cm="1">
        <f t="array" ref="D23">INDEX(nrmp_base!$A$4:$BQ$31, ROWS($A$1:D22), MATCH(D$1, nrmp_base!$A$3:$BQ$3, 0))</f>
        <v>10</v>
      </c>
      <c r="E23" s="3" cm="1">
        <f t="array" ref="E23">INDEX(nrmp_base!$A$4:$BQ$31, ROWS($A$1:E22), MATCH(E$1, nrmp_base!$A$3:$BQ$3, 0))</f>
        <v>82.527475247524706</v>
      </c>
      <c r="F23" s="2" cm="1">
        <f t="array" ref="F23">INDEX(nrmp_base!$A$4:$BQ$31, ROWS($A$1:F22), MATCH(F$1, nrmp_base!$A$3:$BQ$3, 0))</f>
        <v>0.73925808419768102</v>
      </c>
      <c r="G23" s="2" cm="1">
        <f t="array" ref="G23">INDEX(nrmp_base!$A$4:$BQ$31, ROWS($A$1:G22), MATCH(G$1, nrmp_base!$A$3:$BQ$3, 0))</f>
        <v>1</v>
      </c>
    </row>
    <row r="24" spans="1:7" x14ac:dyDescent="0.35">
      <c r="A24" t="str" cm="1">
        <f t="array" ref="A24">INDEX(nrmp_base!$A$4:$BQ$31, ROWS($A$1:A23), MATCH(A$1, nrmp_base!$A$3:$BQ$3, 0))</f>
        <v>Radiology-Diagnostic</v>
      </c>
      <c r="B24" cm="1">
        <f t="array" ref="B24">INDEX(nrmp_base!$A$4:$BQ$31, ROWS($A$1:B23), MATCH(B$1, nrmp_base!$A$3:$BQ$3, 0))</f>
        <v>140</v>
      </c>
      <c r="C24" cm="1">
        <f t="array" ref="C24">INDEX(nrmp_base!$A$4:$BQ$31, ROWS($A$1:C23), MATCH(C$1, nrmp_base!$A$3:$BQ$3, 0))</f>
        <v>0</v>
      </c>
      <c r="D24" cm="1">
        <f t="array" ref="D24">INDEX(nrmp_base!$A$4:$BQ$31, ROWS($A$1:D23), MATCH(D$1, nrmp_base!$A$3:$BQ$3, 0))</f>
        <v>2</v>
      </c>
      <c r="E24" s="3" cm="1">
        <f t="array" ref="E24">INDEX(nrmp_base!$A$4:$BQ$31, ROWS($A$1:E23), MATCH(E$1, nrmp_base!$A$3:$BQ$3, 0))</f>
        <v>73.636571428571401</v>
      </c>
      <c r="F24" s="2" cm="1">
        <f t="array" ref="F24">INDEX(nrmp_base!$A$4:$BQ$31, ROWS($A$1:F23), MATCH(F$1, nrmp_base!$A$3:$BQ$3, 0))</f>
        <v>0.75772563176895202</v>
      </c>
      <c r="G24" s="2" cm="1">
        <f t="array" ref="G24">INDEX(nrmp_base!$A$4:$BQ$31, ROWS($A$1:G23), MATCH(G$1, nrmp_base!$A$3:$BQ$3, 0))</f>
        <v>1</v>
      </c>
    </row>
    <row r="25" spans="1:7" x14ac:dyDescent="0.35">
      <c r="A25" t="str" cm="1">
        <f t="array" ref="A25">INDEX(nrmp_base!$A$4:$BQ$31, ROWS($A$1:A24), MATCH(A$1, nrmp_base!$A$3:$BQ$3, 0))</f>
        <v>Surgery (Categorical)</v>
      </c>
      <c r="B25" cm="1">
        <f t="array" ref="B25">INDEX(nrmp_base!$A$4:$BQ$31, ROWS($A$1:B24), MATCH(B$1, nrmp_base!$A$3:$BQ$3, 0))</f>
        <v>1508</v>
      </c>
      <c r="C25" cm="1">
        <f t="array" ref="C25">INDEX(nrmp_base!$A$4:$BQ$31, ROWS($A$1:C24), MATCH(C$1, nrmp_base!$A$3:$BQ$3, 0))</f>
        <v>0</v>
      </c>
      <c r="D25" cm="1">
        <f t="array" ref="D25">INDEX(nrmp_base!$A$4:$BQ$31, ROWS($A$1:D24), MATCH(D$1, nrmp_base!$A$3:$BQ$3, 0))</f>
        <v>7</v>
      </c>
      <c r="E25" s="3" cm="1">
        <f t="array" ref="E25">INDEX(nrmp_base!$A$4:$BQ$31, ROWS($A$1:E24), MATCH(E$1, nrmp_base!$A$3:$BQ$3, 0))</f>
        <v>70.3981962864721</v>
      </c>
      <c r="F25" s="2" cm="1">
        <f t="array" ref="F25">INDEX(nrmp_base!$A$4:$BQ$31, ROWS($A$1:F24), MATCH(F$1, nrmp_base!$A$3:$BQ$3, 0))</f>
        <v>0.78062675599740605</v>
      </c>
      <c r="G25" s="2" cm="1">
        <f t="array" ref="G25">INDEX(nrmp_base!$A$4:$BQ$31, ROWS($A$1:G24), MATCH(G$1, nrmp_base!$A$3:$BQ$3, 0))</f>
        <v>1</v>
      </c>
    </row>
    <row r="26" spans="1:7" x14ac:dyDescent="0.35">
      <c r="A26" t="str" cm="1">
        <f t="array" ref="A26">INDEX(nrmp_base!$A$4:$BQ$31, ROWS($A$1:A25), MATCH(A$1, nrmp_base!$A$3:$BQ$3, 0))</f>
        <v>Surgery-Preliminary (PGY-1 Only)</v>
      </c>
      <c r="B26" cm="1">
        <f t="array" ref="B26">INDEX(nrmp_base!$A$4:$BQ$31, ROWS($A$1:B25), MATCH(B$1, nrmp_base!$A$3:$BQ$3, 0))</f>
        <v>1044</v>
      </c>
      <c r="C26" cm="1">
        <f t="array" ref="C26">INDEX(nrmp_base!$A$4:$BQ$31, ROWS($A$1:C25), MATCH(C$1, nrmp_base!$A$3:$BQ$3, 0))</f>
        <v>0</v>
      </c>
      <c r="D26" cm="1">
        <f t="array" ref="D26">INDEX(nrmp_base!$A$4:$BQ$31, ROWS($A$1:D25), MATCH(D$1, nrmp_base!$A$3:$BQ$3, 0))</f>
        <v>8</v>
      </c>
      <c r="E26" s="3" cm="1">
        <f t="array" ref="E26">INDEX(nrmp_base!$A$4:$BQ$31, ROWS($A$1:E25), MATCH(E$1, nrmp_base!$A$3:$BQ$3, 0))</f>
        <v>69.133180076628307</v>
      </c>
      <c r="F26" s="2" cm="1">
        <f t="array" ref="F26">INDEX(nrmp_base!$A$4:$BQ$31, ROWS($A$1:F25), MATCH(F$1, nrmp_base!$A$3:$BQ$3, 0))</f>
        <v>0.70245177209510901</v>
      </c>
      <c r="G26" s="2" cm="1">
        <f t="array" ref="G26">INDEX(nrmp_base!$A$4:$BQ$31, ROWS($A$1:G25), MATCH(G$1, nrmp_base!$A$3:$BQ$3, 0))</f>
        <v>1</v>
      </c>
    </row>
    <row r="27" spans="1:7" x14ac:dyDescent="0.35">
      <c r="A27" t="str" cm="1">
        <f t="array" ref="A27">INDEX(nrmp_base!$A$4:$BQ$31, ROWS($A$1:A26), MATCH(A$1, nrmp_base!$A$3:$BQ$3, 0))</f>
        <v>Thoracic Surgery</v>
      </c>
      <c r="B27" cm="1">
        <f t="array" ref="B27">INDEX(nrmp_base!$A$4:$BQ$31, ROWS($A$1:B26), MATCH(B$1, nrmp_base!$A$3:$BQ$3, 0))</f>
        <v>40</v>
      </c>
      <c r="C27" cm="1">
        <f t="array" ref="C27">INDEX(nrmp_base!$A$4:$BQ$31, ROWS($A$1:C26), MATCH(C$1, nrmp_base!$A$3:$BQ$3, 0))</f>
        <v>0</v>
      </c>
      <c r="D27" cm="1">
        <f t="array" ref="D27">INDEX(nrmp_base!$A$4:$BQ$31, ROWS($A$1:D26), MATCH(D$1, nrmp_base!$A$3:$BQ$3, 0))</f>
        <v>6</v>
      </c>
      <c r="E27" s="3" cm="1">
        <f t="array" ref="E27">INDEX(nrmp_base!$A$4:$BQ$31, ROWS($A$1:E26), MATCH(E$1, nrmp_base!$A$3:$BQ$3, 0))</f>
        <v>20.454499999999999</v>
      </c>
      <c r="F27" s="2" cm="1">
        <f t="array" ref="F27">INDEX(nrmp_base!$A$4:$BQ$31, ROWS($A$1:F26), MATCH(F$1, nrmp_base!$A$3:$BQ$3, 0))</f>
        <v>0.61484615384615304</v>
      </c>
      <c r="G27" s="2" cm="1">
        <f t="array" ref="G27">INDEX(nrmp_base!$A$4:$BQ$31, ROWS($A$1:G26), MATCH(G$1, nrmp_base!$A$3:$BQ$3, 0))</f>
        <v>1</v>
      </c>
    </row>
    <row r="28" spans="1:7" x14ac:dyDescent="0.35">
      <c r="A28" t="str" cm="1">
        <f t="array" ref="A28">INDEX(nrmp_base!$A$4:$BQ$31, ROWS($A$1:A27), MATCH(A$1, nrmp_base!$A$3:$BQ$3, 0))</f>
        <v>Transitional (PGY-1 Only)</v>
      </c>
      <c r="B28" cm="1">
        <f t="array" ref="B28">INDEX(nrmp_base!$A$4:$BQ$31, ROWS($A$1:B27), MATCH(B$1, nrmp_base!$A$3:$BQ$3, 0))</f>
        <v>1652</v>
      </c>
      <c r="C28" cm="1">
        <f t="array" ref="C28">INDEX(nrmp_base!$A$4:$BQ$31, ROWS($A$1:C27), MATCH(C$1, nrmp_base!$A$3:$BQ$3, 0))</f>
        <v>0</v>
      </c>
      <c r="D28" cm="1">
        <f t="array" ref="D28">INDEX(nrmp_base!$A$4:$BQ$31, ROWS($A$1:D27), MATCH(D$1, nrmp_base!$A$3:$BQ$3, 0))</f>
        <v>5</v>
      </c>
      <c r="E28" s="3" cm="1">
        <f t="array" ref="E28">INDEX(nrmp_base!$A$4:$BQ$31, ROWS($A$1:E27), MATCH(E$1, nrmp_base!$A$3:$BQ$3, 0))</f>
        <v>112.943813559322</v>
      </c>
      <c r="F28" s="2" cm="1">
        <f t="array" ref="F28">INDEX(nrmp_base!$A$4:$BQ$31, ROWS($A$1:F27), MATCH(F$1, nrmp_base!$A$3:$BQ$3, 0))</f>
        <v>0.76644934261407505</v>
      </c>
      <c r="G28" s="2" cm="1">
        <f t="array" ref="G28">INDEX(nrmp_base!$A$4:$BQ$31, ROWS($A$1:G27), MATCH(G$1, nrmp_base!$A$3:$BQ$3, 0))</f>
        <v>1</v>
      </c>
    </row>
    <row r="29" spans="1:7" x14ac:dyDescent="0.35">
      <c r="A29" t="str" cm="1">
        <f t="array" ref="A29">INDEX(nrmp_base!$A$4:$BQ$31, ROWS($A$1:A28), MATCH(A$1, nrmp_base!$A$3:$BQ$3, 0))</f>
        <v>Vascular Surgery</v>
      </c>
      <c r="B29" cm="1">
        <f t="array" ref="B29">INDEX(nrmp_base!$A$4:$BQ$31, ROWS($A$1:B28), MATCH(B$1, nrmp_base!$A$3:$BQ$3, 0))</f>
        <v>77</v>
      </c>
      <c r="C29" cm="1">
        <f t="array" ref="C29">INDEX(nrmp_base!$A$4:$BQ$31, ROWS($A$1:C28), MATCH(C$1, nrmp_base!$A$3:$BQ$3, 0))</f>
        <v>0</v>
      </c>
      <c r="D29" cm="1">
        <f t="array" ref="D29">INDEX(nrmp_base!$A$4:$BQ$31, ROWS($A$1:D28), MATCH(D$1, nrmp_base!$A$3:$BQ$3, 0))</f>
        <v>8</v>
      </c>
      <c r="E29" s="3" cm="1">
        <f t="array" ref="E29">INDEX(nrmp_base!$A$4:$BQ$31, ROWS($A$1:E28), MATCH(E$1, nrmp_base!$A$3:$BQ$3, 0))</f>
        <v>20.744155844155799</v>
      </c>
      <c r="F29" s="2" cm="1">
        <f t="array" ref="F29">INDEX(nrmp_base!$A$4:$BQ$31, ROWS($A$1:F28), MATCH(F$1, nrmp_base!$A$3:$BQ$3, 0))</f>
        <v>0.66758720930232496</v>
      </c>
      <c r="G29" s="2" cm="1">
        <f t="array" ref="G29">INDEX(nrmp_base!$A$4:$BQ$31, ROWS($A$1:G28), MATCH(G$1, nrmp_base!$A$3:$BQ$3, 0))</f>
        <v>1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9F7A3-4D2D-46D7-A572-B9A3871808C5}">
  <dimension ref="A1:D1"/>
  <sheetViews>
    <sheetView workbookViewId="0">
      <selection activeCell="A2" sqref="A2"/>
    </sheetView>
  </sheetViews>
  <sheetFormatPr defaultRowHeight="14.5" x14ac:dyDescent="0.35"/>
  <cols>
    <col min="1" max="1" width="10.6328125" bestFit="1" customWidth="1"/>
    <col min="2" max="2" width="37.90625" bestFit="1" customWidth="1"/>
    <col min="3" max="3" width="32.36328125" bestFit="1" customWidth="1"/>
    <col min="4" max="4" width="54.26953125" bestFit="1" customWidth="1"/>
  </cols>
  <sheetData>
    <row r="1" spans="1:4" x14ac:dyDescent="0.35">
      <c r="A1" t="s">
        <v>99</v>
      </c>
      <c r="B1" t="s">
        <v>100</v>
      </c>
      <c r="C1" t="s">
        <v>101</v>
      </c>
      <c r="D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nrmp_base</vt:lpstr>
      <vt:lpstr>nrmp_base_table</vt:lpstr>
      <vt:lpstr>sensitivity_analysis_table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Ali</cp:lastModifiedBy>
  <dcterms:created xsi:type="dcterms:W3CDTF">2025-12-18T00:53:34Z</dcterms:created>
  <dcterms:modified xsi:type="dcterms:W3CDTF">2025-12-29T14:10:04Z</dcterms:modified>
</cp:coreProperties>
</file>