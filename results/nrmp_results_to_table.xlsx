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research\active.projects\signaling_project\code\NRMP\"/>
    </mc:Choice>
  </mc:AlternateContent>
  <xr:revisionPtr revIDLastSave="0" documentId="13_ncr:1_{787E4505-C7C2-40BC-BA86-EAA7EA00FA31}" xr6:coauthVersionLast="47" xr6:coauthVersionMax="47" xr10:uidLastSave="{00000000-0000-0000-0000-000000000000}"/>
  <bookViews>
    <workbookView xWindow="2130" yWindow="820" windowWidth="19720" windowHeight="19940" activeTab="1" xr2:uid="{1861FF0A-8415-4E55-9E1D-A497392191A9}"/>
  </bookViews>
  <sheets>
    <sheet name="heatmap_results_nrmp" sheetId="1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" l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E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G1" i="3"/>
  <c r="F1" i="3"/>
  <c r="E1" i="3"/>
  <c r="D1" i="3"/>
  <c r="C1" i="3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1" i="3"/>
  <c r="B1" i="3"/>
</calcChain>
</file>

<file path=xl/sharedStrings.xml><?xml version="1.0" encoding="utf-8"?>
<sst xmlns="http://schemas.openxmlformats.org/spreadsheetml/2006/main" count="97" uniqueCount="97">
  <si>
    <t>n_programs</t>
  </si>
  <si>
    <t>n_positions</t>
  </si>
  <si>
    <t>n_applicants</t>
  </si>
  <si>
    <t>interviews_per_spot</t>
  </si>
  <si>
    <t>max_applications</t>
  </si>
  <si>
    <t>applicants_per_position</t>
  </si>
  <si>
    <t>minimum_unmatched</t>
  </si>
  <si>
    <t>spots_per_program</t>
  </si>
  <si>
    <t>simulated_positions</t>
  </si>
  <si>
    <t>simulations_per_s</t>
  </si>
  <si>
    <t>study_min_signal</t>
  </si>
  <si>
    <t>study_max_signal</t>
  </si>
  <si>
    <t>result_file_prefix</t>
  </si>
  <si>
    <t>best_signal_rpp</t>
  </si>
  <si>
    <t>reviews_per_program_best_rpp</t>
  </si>
  <si>
    <t>unmatched_applicants_best_rpp</t>
  </si>
  <si>
    <t>unfilled_spots_best_rpp</t>
  </si>
  <si>
    <t>pct_interview_given_signal_best_rpp</t>
  </si>
  <si>
    <t>pct_interview_given_nosignal_best_rpp</t>
  </si>
  <si>
    <t>pct_interview_given_application_best_rpp</t>
  </si>
  <si>
    <t>pct_of_app_match_via_signal_given_matched_best_rpp</t>
  </si>
  <si>
    <t>best_signal_ua</t>
  </si>
  <si>
    <t>reviews_per_program_best_ua</t>
  </si>
  <si>
    <t>unmatched_applicants_best_ua</t>
  </si>
  <si>
    <t>unfilled_spots_best_ua</t>
  </si>
  <si>
    <t>pct_interview_given_signal_best_ua</t>
  </si>
  <si>
    <t>pct_interview_given_nosignal_best_ua</t>
  </si>
  <si>
    <t>pct_interview_given_application_best_ua</t>
  </si>
  <si>
    <t>pct_of_app_match_via_signal_given_matched_best_ua</t>
  </si>
  <si>
    <t>best_signal_ufs</t>
  </si>
  <si>
    <t>reviews_per_program_best_ufs</t>
  </si>
  <si>
    <t>unmatched_applicants_best_ufs</t>
  </si>
  <si>
    <t>unfilled_spots_best_ufs</t>
  </si>
  <si>
    <t>pct_interview_given_signal_best_ufs</t>
  </si>
  <si>
    <t>pct_interview_given_nosignal_best_ufs</t>
  </si>
  <si>
    <t>pct_interview_given_application_best_ufs</t>
  </si>
  <si>
    <t>pct_of_app_match_via_signal_given_matched_best_ufs</t>
  </si>
  <si>
    <t>best_signal_pigs</t>
  </si>
  <si>
    <t>reviews_per_program_best_pigs</t>
  </si>
  <si>
    <t>unmatched_applicants_best_pigs</t>
  </si>
  <si>
    <t>unfilled_spots_best_pigs</t>
  </si>
  <si>
    <t>pct_interview_given_signal_best_pigs</t>
  </si>
  <si>
    <t>pct_interview_given_nosignal_best_pigs</t>
  </si>
  <si>
    <t>pct_interview_given_application_best_pigs</t>
  </si>
  <si>
    <t>pct_of_app_match_via_signal_given_matched_best_pigs</t>
  </si>
  <si>
    <t>best_signal_pigns</t>
  </si>
  <si>
    <t>reviews_per_program_best_pigns</t>
  </si>
  <si>
    <t>unmatched_applicants_best_pigns</t>
  </si>
  <si>
    <t>unfilled_spots_best_pigns</t>
  </si>
  <si>
    <t>pct_interview_given_signal_best_pigns</t>
  </si>
  <si>
    <t>pct_interview_given_nosignal_best_pigns</t>
  </si>
  <si>
    <t>pct_interview_given_application_best_pigns</t>
  </si>
  <si>
    <t>pct_of_app_match_via_signal_given_matched_best_pigns</t>
  </si>
  <si>
    <t>best_signal_piga</t>
  </si>
  <si>
    <t>reviews_per_program_best_piga</t>
  </si>
  <si>
    <t>unmatched_applicants_best_piga</t>
  </si>
  <si>
    <t>unfilled_spots_best_piga</t>
  </si>
  <si>
    <t>pct_interview_given_signal_best_piga</t>
  </si>
  <si>
    <t>pct_interview_given_nosignal_best_piga</t>
  </si>
  <si>
    <t>pct_interview_given_application_best_piga</t>
  </si>
  <si>
    <t>pct_of_app_match_via_signal_given_matched_best_piga</t>
  </si>
  <si>
    <t>best_signal_pamgs</t>
  </si>
  <si>
    <t>reviews_per_program_best_pamgs</t>
  </si>
  <si>
    <t>unmatched_applicants_best_pamgs</t>
  </si>
  <si>
    <t>unfilled_spots_best_pamgs</t>
  </si>
  <si>
    <t>pct_interview_given_signal_best_pamgs</t>
  </si>
  <si>
    <t>pct_interview_given_nosignal_best_pamgs</t>
  </si>
  <si>
    <t>pct_interview_given_application_best_pamgs</t>
  </si>
  <si>
    <t>pct_of_app_match_via_signal_given_matched_best_pamgs</t>
  </si>
  <si>
    <t>Anesthesiology</t>
  </si>
  <si>
    <t>Child Neurology</t>
  </si>
  <si>
    <t>Dermatology</t>
  </si>
  <si>
    <t>Emergency Medicine</t>
  </si>
  <si>
    <t>Family Medicine</t>
  </si>
  <si>
    <t>Internal Medicine (Categorical)</t>
  </si>
  <si>
    <t>Medicine-Emergency Med</t>
  </si>
  <si>
    <t>Medicine-Pediatrics</t>
  </si>
  <si>
    <t>Medicine-Preliminary (PGY-1 Only)</t>
  </si>
  <si>
    <t>Medicine-Primary</t>
  </si>
  <si>
    <t>Interventional Radiology (Integrated)</t>
  </si>
  <si>
    <t>Neurological Surgery</t>
  </si>
  <si>
    <t>Neurology</t>
  </si>
  <si>
    <t>Obstetrics-Gynecology</t>
  </si>
  <si>
    <t>Orthopaedic Surgery</t>
  </si>
  <si>
    <t>Otolaryngology</t>
  </si>
  <si>
    <t>Pathology</t>
  </si>
  <si>
    <t>Pediatrics (Categorical)</t>
  </si>
  <si>
    <t>Pediatrics-Primary</t>
  </si>
  <si>
    <t>Physical Medicine &amp; Rehab</t>
  </si>
  <si>
    <t>Plastic Surgery (Integrated)</t>
  </si>
  <si>
    <t>Psychiatry</t>
  </si>
  <si>
    <t>Radiology-Diagnostic</t>
  </si>
  <si>
    <t>Surgery (Categorical)</t>
  </si>
  <si>
    <t>Surgery-Preliminary (PGY-1 Only)</t>
  </si>
  <si>
    <t>Thoracic Surgery</t>
  </si>
  <si>
    <t>Transitional (PGY-1 Only)</t>
  </si>
  <si>
    <t>Vascular Surgery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</si>
</sst>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1" fontId="0" fillId="0" borderId="0" xfId="0" applyNumberFormat="1"/>
    <xf numFmtId="9" fontId="0" fillId="0" borderId="0" xfId="1" applyFont="1"/>
    <xf numFmtId="1" fontId="0" fillId="0" borderId="0" xfId="0" applyNumberForma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84E49-70DF-444E-9F83-90B1B983B920}">
  <dimension ref="A1:BQ29"/>
  <sheetViews>
    <sheetView topLeftCell="R1" workbookViewId="0">
      <selection activeCell="O1" sqref="O1"/>
    </sheetView>
  </sheetViews>
  <sheetFormatPr defaultRowHeight="14.5" x14ac:dyDescent="0.35"/>
  <cols>
    <col min="1" max="1" width="30.453125" bestFit="1" customWidth="1"/>
    <col min="2" max="2" width="10.26953125" bestFit="1" customWidth="1"/>
    <col min="3" max="3" width="10" bestFit="1" customWidth="1"/>
    <col min="4" max="4" width="11.1796875" bestFit="1" customWidth="1"/>
    <col min="5" max="5" width="17" bestFit="1" customWidth="1"/>
    <col min="6" max="6" width="15" bestFit="1" customWidth="1"/>
    <col min="7" max="7" width="20.1796875" bestFit="1" customWidth="1"/>
    <col min="8" max="8" width="18.54296875" bestFit="1" customWidth="1"/>
    <col min="9" max="9" width="16.453125" bestFit="1" customWidth="1"/>
    <col min="10" max="10" width="17.1796875" bestFit="1" customWidth="1"/>
    <col min="11" max="11" width="15.453125" bestFit="1" customWidth="1"/>
    <col min="12" max="12" width="14.54296875" bestFit="1" customWidth="1"/>
    <col min="13" max="13" width="15" bestFit="1" customWidth="1"/>
    <col min="14" max="14" width="13.453125" bestFit="1" customWidth="1"/>
    <col min="15" max="15" width="26.1796875" bestFit="1" customWidth="1"/>
    <col min="16" max="16" width="27.453125" bestFit="1" customWidth="1"/>
    <col min="17" max="17" width="20" bestFit="1" customWidth="1"/>
    <col min="18" max="18" width="30.453125" bestFit="1" customWidth="1"/>
    <col min="19" max="19" width="32.453125" bestFit="1" customWidth="1"/>
    <col min="20" max="20" width="34.7265625" bestFit="1" customWidth="1"/>
    <col min="21" max="21" width="45.81640625" bestFit="1" customWidth="1"/>
    <col min="22" max="22" width="12.7265625" bestFit="1" customWidth="1"/>
    <col min="23" max="23" width="25.453125" bestFit="1" customWidth="1"/>
    <col min="24" max="24" width="26.81640625" bestFit="1" customWidth="1"/>
    <col min="25" max="25" width="19.453125" bestFit="1" customWidth="1"/>
    <col min="26" max="26" width="29.7265625" bestFit="1" customWidth="1"/>
    <col min="27" max="27" width="31.7265625" bestFit="1" customWidth="1"/>
    <col min="28" max="28" width="34.1796875" bestFit="1" customWidth="1"/>
    <col min="29" max="29" width="45.1796875" bestFit="1" customWidth="1"/>
    <col min="30" max="30" width="13.26953125" bestFit="1" customWidth="1"/>
    <col min="31" max="31" width="25.81640625" bestFit="1" customWidth="1"/>
    <col min="32" max="32" width="27.26953125" bestFit="1" customWidth="1"/>
    <col min="33" max="33" width="19.81640625" bestFit="1" customWidth="1"/>
    <col min="34" max="34" width="30.1796875" bestFit="1" customWidth="1"/>
    <col min="35" max="35" width="32.1796875" bestFit="1" customWidth="1"/>
    <col min="36" max="36" width="34.54296875" bestFit="1" customWidth="1"/>
    <col min="37" max="37" width="45.7265625" bestFit="1" customWidth="1"/>
    <col min="38" max="38" width="14.1796875" bestFit="1" customWidth="1"/>
    <col min="39" max="39" width="26.7265625" bestFit="1" customWidth="1"/>
    <col min="40" max="40" width="28.1796875" bestFit="1" customWidth="1"/>
    <col min="41" max="41" width="20.54296875" bestFit="1" customWidth="1"/>
    <col min="42" max="42" width="31" bestFit="1" customWidth="1"/>
    <col min="43" max="43" width="33" bestFit="1" customWidth="1"/>
    <col min="44" max="44" width="35.453125" bestFit="1" customWidth="1"/>
    <col min="45" max="45" width="46.54296875" bestFit="1" customWidth="1"/>
    <col min="46" max="46" width="15.1796875" bestFit="1" customWidth="1"/>
    <col min="47" max="47" width="27.7265625" bestFit="1" customWidth="1"/>
    <col min="48" max="48" width="29.1796875" bestFit="1" customWidth="1"/>
    <col min="49" max="49" width="21.7265625" bestFit="1" customWidth="1"/>
    <col min="50" max="50" width="32" bestFit="1" customWidth="1"/>
    <col min="51" max="51" width="34.1796875" bestFit="1" customWidth="1"/>
    <col min="52" max="52" width="36.453125" bestFit="1" customWidth="1"/>
    <col min="53" max="53" width="47.54296875" bestFit="1" customWidth="1"/>
    <col min="54" max="54" width="14.1796875" bestFit="1" customWidth="1"/>
    <col min="55" max="55" width="26.81640625" bestFit="1" customWidth="1"/>
    <col min="56" max="56" width="28.1796875" bestFit="1" customWidth="1"/>
    <col min="57" max="57" width="20.7265625" bestFit="1" customWidth="1"/>
    <col min="58" max="58" width="31.1796875" bestFit="1" customWidth="1"/>
    <col min="59" max="59" width="33.1796875" bestFit="1" customWidth="1"/>
    <col min="60" max="60" width="35.453125" bestFit="1" customWidth="1"/>
    <col min="61" max="61" width="46.54296875" bestFit="1" customWidth="1"/>
    <col min="62" max="62" width="16.1796875" bestFit="1" customWidth="1"/>
    <col min="63" max="63" width="28.81640625" bestFit="1" customWidth="1"/>
    <col min="64" max="64" width="30.26953125" bestFit="1" customWidth="1"/>
    <col min="65" max="65" width="22.81640625" bestFit="1" customWidth="1"/>
    <col min="66" max="66" width="33.1796875" bestFit="1" customWidth="1"/>
    <col min="67" max="67" width="35.1796875" bestFit="1" customWidth="1"/>
    <col min="68" max="68" width="37.54296875" bestFit="1" customWidth="1"/>
    <col min="69" max="69" width="48.54296875" bestFit="1" customWidth="1"/>
  </cols>
  <sheetData>
    <row r="1" spans="1:69" x14ac:dyDescent="0.35">
      <c r="A1" t="s">
        <v>12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</row>
    <row r="2" spans="1:69" x14ac:dyDescent="0.35">
      <c r="A2" t="s">
        <v>69</v>
      </c>
      <c r="B2">
        <v>189</v>
      </c>
      <c r="C2">
        <v>1805</v>
      </c>
      <c r="D2">
        <v>3017</v>
      </c>
      <c r="E2">
        <v>10</v>
      </c>
      <c r="F2">
        <v>50</v>
      </c>
      <c r="G2">
        <v>1.7736625509999999</v>
      </c>
      <c r="H2">
        <v>1316</v>
      </c>
      <c r="I2">
        <v>9</v>
      </c>
      <c r="J2">
        <v>1701</v>
      </c>
      <c r="K2">
        <v>100</v>
      </c>
      <c r="L2">
        <v>0</v>
      </c>
      <c r="M2">
        <v>40</v>
      </c>
      <c r="N2">
        <v>7</v>
      </c>
      <c r="O2">
        <v>119.730952380952</v>
      </c>
      <c r="P2">
        <v>1316</v>
      </c>
      <c r="Q2">
        <v>0</v>
      </c>
      <c r="R2">
        <v>0.80505090203134599</v>
      </c>
      <c r="S2" s="1">
        <v>6.2668136374498002E-5</v>
      </c>
      <c r="T2">
        <v>0.11276102088167</v>
      </c>
      <c r="U2">
        <v>1</v>
      </c>
      <c r="V2">
        <v>3</v>
      </c>
      <c r="W2">
        <v>798.14814814814702</v>
      </c>
      <c r="X2">
        <v>1316</v>
      </c>
      <c r="Y2">
        <v>0</v>
      </c>
      <c r="Z2">
        <v>1</v>
      </c>
      <c r="AA2">
        <v>5.6128745618798402E-2</v>
      </c>
      <c r="AB2">
        <v>0.11276102088167</v>
      </c>
      <c r="AC2">
        <v>1</v>
      </c>
      <c r="AD2">
        <v>3</v>
      </c>
      <c r="AE2">
        <v>798.14814814814702</v>
      </c>
      <c r="AF2">
        <v>1316</v>
      </c>
      <c r="AG2">
        <v>0</v>
      </c>
      <c r="AH2">
        <v>1</v>
      </c>
      <c r="AI2">
        <v>5.6128745618798402E-2</v>
      </c>
      <c r="AJ2">
        <v>0.11276102088167</v>
      </c>
      <c r="AK2">
        <v>1</v>
      </c>
      <c r="AL2">
        <v>1</v>
      </c>
      <c r="AM2">
        <v>798.14814814814702</v>
      </c>
      <c r="AN2">
        <v>1318.46</v>
      </c>
      <c r="AO2">
        <v>2.46</v>
      </c>
      <c r="AP2">
        <v>1</v>
      </c>
      <c r="AQ2">
        <v>9.46541029404801E-2</v>
      </c>
      <c r="AR2">
        <v>0.11276102088167</v>
      </c>
      <c r="AS2">
        <v>0.99693789370510999</v>
      </c>
      <c r="AT2">
        <v>0</v>
      </c>
      <c r="AU2">
        <v>798.14814814814702</v>
      </c>
      <c r="AV2">
        <v>1886.96</v>
      </c>
      <c r="AW2">
        <v>570.96</v>
      </c>
      <c r="AX2">
        <v>0</v>
      </c>
      <c r="AY2">
        <v>0.11276102088167</v>
      </c>
      <c r="AZ2">
        <v>0.11276102088167</v>
      </c>
      <c r="BA2">
        <v>0</v>
      </c>
      <c r="BB2">
        <v>0</v>
      </c>
      <c r="BC2">
        <v>798.14814814814702</v>
      </c>
      <c r="BD2">
        <v>1886.96</v>
      </c>
      <c r="BE2">
        <v>570.96</v>
      </c>
      <c r="BF2">
        <v>0</v>
      </c>
      <c r="BG2">
        <v>0.11276102088167</v>
      </c>
      <c r="BH2">
        <v>0.11276102088167</v>
      </c>
      <c r="BI2">
        <v>0</v>
      </c>
      <c r="BJ2">
        <v>3</v>
      </c>
      <c r="BK2">
        <v>798.14814814814702</v>
      </c>
      <c r="BL2">
        <v>1316</v>
      </c>
      <c r="BM2">
        <v>0</v>
      </c>
      <c r="BN2">
        <v>1</v>
      </c>
      <c r="BO2">
        <v>5.6128745618798402E-2</v>
      </c>
      <c r="BP2">
        <v>0.11276102088167</v>
      </c>
      <c r="BQ2">
        <v>1</v>
      </c>
    </row>
    <row r="3" spans="1:69" x14ac:dyDescent="0.35">
      <c r="A3" t="s">
        <v>70</v>
      </c>
      <c r="B3">
        <v>78</v>
      </c>
      <c r="C3">
        <v>195</v>
      </c>
      <c r="D3">
        <v>286</v>
      </c>
      <c r="E3">
        <v>10</v>
      </c>
      <c r="F3">
        <v>50</v>
      </c>
      <c r="G3">
        <v>1.8333333329999999</v>
      </c>
      <c r="H3">
        <v>130</v>
      </c>
      <c r="I3">
        <v>2</v>
      </c>
      <c r="J3">
        <v>156</v>
      </c>
      <c r="K3">
        <v>100</v>
      </c>
      <c r="L3">
        <v>0</v>
      </c>
      <c r="M3">
        <v>40</v>
      </c>
      <c r="N3">
        <v>8</v>
      </c>
      <c r="O3">
        <v>32.6055128205128</v>
      </c>
      <c r="P3">
        <v>130.02000000000001</v>
      </c>
      <c r="Q3">
        <v>0.02</v>
      </c>
      <c r="R3">
        <v>0.68048076923076894</v>
      </c>
      <c r="S3">
        <v>2.5474525474525399E-4</v>
      </c>
      <c r="T3">
        <v>0.109090909090909</v>
      </c>
      <c r="U3">
        <v>1</v>
      </c>
      <c r="V3">
        <v>4</v>
      </c>
      <c r="W3">
        <v>166.99205128205099</v>
      </c>
      <c r="X3">
        <v>130</v>
      </c>
      <c r="Y3">
        <v>0</v>
      </c>
      <c r="Z3">
        <v>0.99016608391608296</v>
      </c>
      <c r="AA3">
        <v>3.2475676497415597E-2</v>
      </c>
      <c r="AB3">
        <v>0.109090909090909</v>
      </c>
      <c r="AC3">
        <v>1</v>
      </c>
      <c r="AD3">
        <v>4</v>
      </c>
      <c r="AE3">
        <v>166.99205128205099</v>
      </c>
      <c r="AF3">
        <v>130</v>
      </c>
      <c r="AG3">
        <v>0</v>
      </c>
      <c r="AH3">
        <v>0.99016608391608296</v>
      </c>
      <c r="AI3">
        <v>3.2475676497415597E-2</v>
      </c>
      <c r="AJ3">
        <v>0.109090909090909</v>
      </c>
      <c r="AK3">
        <v>1</v>
      </c>
      <c r="AL3">
        <v>1</v>
      </c>
      <c r="AM3">
        <v>183.333333333333</v>
      </c>
      <c r="AN3">
        <v>133.81</v>
      </c>
      <c r="AO3">
        <v>3.81</v>
      </c>
      <c r="AP3">
        <v>1</v>
      </c>
      <c r="AQ3">
        <v>9.0909090909090898E-2</v>
      </c>
      <c r="AR3">
        <v>0.109090909090909</v>
      </c>
      <c r="AS3">
        <v>0.95784930385367695</v>
      </c>
      <c r="AT3">
        <v>0</v>
      </c>
      <c r="AU3">
        <v>183.333333333333</v>
      </c>
      <c r="AV3">
        <v>211.08</v>
      </c>
      <c r="AW3">
        <v>81.08</v>
      </c>
      <c r="AX3">
        <v>0</v>
      </c>
      <c r="AY3">
        <v>0.109090909090909</v>
      </c>
      <c r="AZ3">
        <v>0.109090909090909</v>
      </c>
      <c r="BA3">
        <v>0</v>
      </c>
      <c r="BB3">
        <v>0</v>
      </c>
      <c r="BC3">
        <v>183.333333333333</v>
      </c>
      <c r="BD3">
        <v>211.08</v>
      </c>
      <c r="BE3">
        <v>81.08</v>
      </c>
      <c r="BF3">
        <v>0</v>
      </c>
      <c r="BG3">
        <v>0.109090909090909</v>
      </c>
      <c r="BH3">
        <v>0.109090909090909</v>
      </c>
      <c r="BI3">
        <v>0</v>
      </c>
      <c r="BJ3">
        <v>4</v>
      </c>
      <c r="BK3">
        <v>166.99205128205099</v>
      </c>
      <c r="BL3">
        <v>130</v>
      </c>
      <c r="BM3">
        <v>0</v>
      </c>
      <c r="BN3">
        <v>0.99016608391608296</v>
      </c>
      <c r="BO3">
        <v>3.2475676497415597E-2</v>
      </c>
      <c r="BP3">
        <v>0.109090909090909</v>
      </c>
      <c r="BQ3">
        <v>1</v>
      </c>
    </row>
    <row r="4" spans="1:69" x14ac:dyDescent="0.35">
      <c r="A4" t="s">
        <v>71</v>
      </c>
      <c r="B4">
        <v>14</v>
      </c>
      <c r="C4">
        <v>30</v>
      </c>
      <c r="D4">
        <v>299</v>
      </c>
      <c r="E4">
        <v>10</v>
      </c>
      <c r="F4">
        <v>14</v>
      </c>
      <c r="G4">
        <v>10.67857143</v>
      </c>
      <c r="H4">
        <v>271</v>
      </c>
      <c r="I4">
        <v>2</v>
      </c>
      <c r="J4">
        <v>28</v>
      </c>
      <c r="K4">
        <v>100</v>
      </c>
      <c r="L4">
        <v>0</v>
      </c>
      <c r="M4">
        <v>11</v>
      </c>
      <c r="N4">
        <v>2</v>
      </c>
      <c r="O4">
        <v>42.714285714285602</v>
      </c>
      <c r="P4">
        <v>271</v>
      </c>
      <c r="Q4">
        <v>0</v>
      </c>
      <c r="R4">
        <v>0.46822742474916301</v>
      </c>
      <c r="S4">
        <v>0</v>
      </c>
      <c r="T4">
        <v>6.6889632107023395E-2</v>
      </c>
      <c r="U4">
        <v>1</v>
      </c>
      <c r="V4">
        <v>1</v>
      </c>
      <c r="W4">
        <v>128.34357142857101</v>
      </c>
      <c r="X4">
        <v>271</v>
      </c>
      <c r="Y4">
        <v>0</v>
      </c>
      <c r="Z4">
        <v>0.87254180602006604</v>
      </c>
      <c r="AA4">
        <v>4.9163879598662199E-3</v>
      </c>
      <c r="AB4">
        <v>6.6889632107023395E-2</v>
      </c>
      <c r="AC4">
        <v>1</v>
      </c>
      <c r="AD4">
        <v>1</v>
      </c>
      <c r="AE4">
        <v>128.34357142857101</v>
      </c>
      <c r="AF4">
        <v>271</v>
      </c>
      <c r="AG4">
        <v>0</v>
      </c>
      <c r="AH4">
        <v>0.87254180602006604</v>
      </c>
      <c r="AI4">
        <v>4.9163879598662199E-3</v>
      </c>
      <c r="AJ4">
        <v>6.6889632107023395E-2</v>
      </c>
      <c r="AK4">
        <v>1</v>
      </c>
      <c r="AL4">
        <v>1</v>
      </c>
      <c r="AM4">
        <v>128.34357142857101</v>
      </c>
      <c r="AN4">
        <v>271</v>
      </c>
      <c r="AO4">
        <v>0</v>
      </c>
      <c r="AP4">
        <v>0.87254180602006604</v>
      </c>
      <c r="AQ4">
        <v>4.9163879598662199E-3</v>
      </c>
      <c r="AR4">
        <v>6.6889632107023395E-2</v>
      </c>
      <c r="AS4">
        <v>1</v>
      </c>
      <c r="AT4">
        <v>0</v>
      </c>
      <c r="AU4">
        <v>299</v>
      </c>
      <c r="AV4">
        <v>279</v>
      </c>
      <c r="AW4">
        <v>8</v>
      </c>
      <c r="AX4">
        <v>0</v>
      </c>
      <c r="AY4">
        <v>6.6889632107023395E-2</v>
      </c>
      <c r="AZ4">
        <v>6.6889632107023395E-2</v>
      </c>
      <c r="BA4">
        <v>0</v>
      </c>
      <c r="BB4">
        <v>0</v>
      </c>
      <c r="BC4">
        <v>299</v>
      </c>
      <c r="BD4">
        <v>279</v>
      </c>
      <c r="BE4">
        <v>8</v>
      </c>
      <c r="BF4">
        <v>0</v>
      </c>
      <c r="BG4">
        <v>6.6889632107023395E-2</v>
      </c>
      <c r="BH4">
        <v>6.6889632107023395E-2</v>
      </c>
      <c r="BI4">
        <v>0</v>
      </c>
      <c r="BJ4">
        <v>1</v>
      </c>
      <c r="BK4">
        <v>128.34357142857101</v>
      </c>
      <c r="BL4">
        <v>271</v>
      </c>
      <c r="BM4">
        <v>0</v>
      </c>
      <c r="BN4">
        <v>0.87254180602006604</v>
      </c>
      <c r="BO4">
        <v>4.9163879598662199E-3</v>
      </c>
      <c r="BP4">
        <v>6.6889632107023395E-2</v>
      </c>
      <c r="BQ4">
        <v>1</v>
      </c>
    </row>
    <row r="5" spans="1:69" x14ac:dyDescent="0.35">
      <c r="A5" t="s">
        <v>72</v>
      </c>
      <c r="B5">
        <v>292</v>
      </c>
      <c r="C5">
        <v>3068</v>
      </c>
      <c r="D5">
        <v>3753</v>
      </c>
      <c r="E5">
        <v>10</v>
      </c>
      <c r="F5">
        <v>50</v>
      </c>
      <c r="G5">
        <v>1.285273973</v>
      </c>
      <c r="H5">
        <v>833</v>
      </c>
      <c r="I5">
        <v>10</v>
      </c>
      <c r="J5">
        <v>2920</v>
      </c>
      <c r="K5">
        <v>100</v>
      </c>
      <c r="L5">
        <v>0</v>
      </c>
      <c r="M5">
        <v>40</v>
      </c>
      <c r="N5">
        <v>10</v>
      </c>
      <c r="O5">
        <v>129.82904109589001</v>
      </c>
      <c r="P5">
        <v>833.76</v>
      </c>
      <c r="Q5">
        <v>0.76</v>
      </c>
      <c r="R5">
        <v>0.77798374633626399</v>
      </c>
      <c r="S5" s="1">
        <v>1.51212363442579E-5</v>
      </c>
      <c r="T5">
        <v>0.15560884625632801</v>
      </c>
      <c r="U5">
        <v>1</v>
      </c>
      <c r="V5">
        <v>4</v>
      </c>
      <c r="W5">
        <v>642.63698630136901</v>
      </c>
      <c r="X5">
        <v>833</v>
      </c>
      <c r="Y5">
        <v>0</v>
      </c>
      <c r="Z5">
        <v>1</v>
      </c>
      <c r="AA5">
        <v>8.2183528539487197E-2</v>
      </c>
      <c r="AB5">
        <v>0.15560884625632801</v>
      </c>
      <c r="AC5">
        <v>1</v>
      </c>
      <c r="AD5">
        <v>4</v>
      </c>
      <c r="AE5">
        <v>642.63698630136901</v>
      </c>
      <c r="AF5">
        <v>833</v>
      </c>
      <c r="AG5">
        <v>0</v>
      </c>
      <c r="AH5">
        <v>1</v>
      </c>
      <c r="AI5">
        <v>8.2183528539487197E-2</v>
      </c>
      <c r="AJ5">
        <v>0.15560884625632801</v>
      </c>
      <c r="AK5">
        <v>1</v>
      </c>
      <c r="AL5">
        <v>1</v>
      </c>
      <c r="AM5">
        <v>642.63698630136901</v>
      </c>
      <c r="AN5">
        <v>885.3</v>
      </c>
      <c r="AO5">
        <v>52.3</v>
      </c>
      <c r="AP5">
        <v>1</v>
      </c>
      <c r="AQ5">
        <v>0.13837637373094699</v>
      </c>
      <c r="AR5">
        <v>0.15560884625632801</v>
      </c>
      <c r="AS5">
        <v>0.97980842963078996</v>
      </c>
      <c r="AT5">
        <v>0</v>
      </c>
      <c r="AU5">
        <v>642.63698630136901</v>
      </c>
      <c r="AV5">
        <v>1815.9</v>
      </c>
      <c r="AW5">
        <v>982.9</v>
      </c>
      <c r="AX5">
        <v>0</v>
      </c>
      <c r="AY5">
        <v>0.15560884625632801</v>
      </c>
      <c r="AZ5">
        <v>0.15560884625632801</v>
      </c>
      <c r="BA5">
        <v>0</v>
      </c>
      <c r="BB5">
        <v>0</v>
      </c>
      <c r="BC5">
        <v>642.63698630136901</v>
      </c>
      <c r="BD5">
        <v>1815.9</v>
      </c>
      <c r="BE5">
        <v>982.9</v>
      </c>
      <c r="BF5">
        <v>0</v>
      </c>
      <c r="BG5">
        <v>0.15560884625632801</v>
      </c>
      <c r="BH5">
        <v>0.15560884625632801</v>
      </c>
      <c r="BI5">
        <v>0</v>
      </c>
      <c r="BJ5">
        <v>4</v>
      </c>
      <c r="BK5">
        <v>642.63698630136901</v>
      </c>
      <c r="BL5">
        <v>833</v>
      </c>
      <c r="BM5">
        <v>0</v>
      </c>
      <c r="BN5">
        <v>1</v>
      </c>
      <c r="BO5">
        <v>8.2183528539487197E-2</v>
      </c>
      <c r="BP5">
        <v>0.15560884625632801</v>
      </c>
      <c r="BQ5">
        <v>1</v>
      </c>
    </row>
    <row r="6" spans="1:69" x14ac:dyDescent="0.35">
      <c r="A6" t="s">
        <v>73</v>
      </c>
      <c r="B6">
        <v>817</v>
      </c>
      <c r="C6">
        <v>5357</v>
      </c>
      <c r="D6">
        <v>7337</v>
      </c>
      <c r="E6">
        <v>10</v>
      </c>
      <c r="F6">
        <v>50</v>
      </c>
      <c r="G6">
        <v>1.496736026</v>
      </c>
      <c r="H6">
        <v>2435</v>
      </c>
      <c r="I6">
        <v>6</v>
      </c>
      <c r="J6">
        <v>4902</v>
      </c>
      <c r="K6">
        <v>100</v>
      </c>
      <c r="L6">
        <v>0</v>
      </c>
      <c r="M6">
        <v>40</v>
      </c>
      <c r="N6">
        <v>9</v>
      </c>
      <c r="O6">
        <v>83.072386780905703</v>
      </c>
      <c r="P6">
        <v>2435.41</v>
      </c>
      <c r="Q6">
        <v>0.41</v>
      </c>
      <c r="R6">
        <v>0.74213211576030103</v>
      </c>
      <c r="S6" s="1">
        <v>4.9166104309264402E-5</v>
      </c>
      <c r="T6">
        <v>0.13362409704238701</v>
      </c>
      <c r="U6">
        <v>1</v>
      </c>
      <c r="V6">
        <v>4</v>
      </c>
      <c r="W6">
        <v>448.96608323133398</v>
      </c>
      <c r="X6">
        <v>2435</v>
      </c>
      <c r="Y6">
        <v>0</v>
      </c>
      <c r="Z6">
        <v>0.99999829630639203</v>
      </c>
      <c r="AA6">
        <v>5.8287210149865799E-2</v>
      </c>
      <c r="AB6">
        <v>0.13362409704238701</v>
      </c>
      <c r="AC6">
        <v>1</v>
      </c>
      <c r="AD6">
        <v>4</v>
      </c>
      <c r="AE6">
        <v>448.96608323133398</v>
      </c>
      <c r="AF6">
        <v>2435</v>
      </c>
      <c r="AG6">
        <v>0</v>
      </c>
      <c r="AH6">
        <v>0.99999829630639203</v>
      </c>
      <c r="AI6">
        <v>5.8287210149865799E-2</v>
      </c>
      <c r="AJ6">
        <v>0.13362409704238701</v>
      </c>
      <c r="AK6">
        <v>1</v>
      </c>
      <c r="AL6">
        <v>1</v>
      </c>
      <c r="AM6">
        <v>449.02080783353699</v>
      </c>
      <c r="AN6">
        <v>2488.9299999999998</v>
      </c>
      <c r="AO6">
        <v>53.93</v>
      </c>
      <c r="AP6">
        <v>1</v>
      </c>
      <c r="AQ6">
        <v>0.11594295616570099</v>
      </c>
      <c r="AR6">
        <v>0.13362409704238701</v>
      </c>
      <c r="AS6">
        <v>0.97788581873346303</v>
      </c>
      <c r="AT6">
        <v>0</v>
      </c>
      <c r="AU6">
        <v>449.02080783353699</v>
      </c>
      <c r="AV6">
        <v>4052.06</v>
      </c>
      <c r="AW6">
        <v>1617.06</v>
      </c>
      <c r="AX6">
        <v>0</v>
      </c>
      <c r="AY6">
        <v>0.13362409704238701</v>
      </c>
      <c r="AZ6">
        <v>0.13362409704238701</v>
      </c>
      <c r="BA6">
        <v>0</v>
      </c>
      <c r="BB6">
        <v>0</v>
      </c>
      <c r="BC6">
        <v>449.02080783353699</v>
      </c>
      <c r="BD6">
        <v>4052.06</v>
      </c>
      <c r="BE6">
        <v>1617.06</v>
      </c>
      <c r="BF6">
        <v>0</v>
      </c>
      <c r="BG6">
        <v>0.13362409704238701</v>
      </c>
      <c r="BH6">
        <v>0.13362409704238701</v>
      </c>
      <c r="BI6">
        <v>0</v>
      </c>
      <c r="BJ6">
        <v>4</v>
      </c>
      <c r="BK6">
        <v>448.96608323133398</v>
      </c>
      <c r="BL6">
        <v>2435</v>
      </c>
      <c r="BM6">
        <v>0</v>
      </c>
      <c r="BN6">
        <v>0.99999829630639203</v>
      </c>
      <c r="BO6">
        <v>5.8287210149865799E-2</v>
      </c>
      <c r="BP6">
        <v>0.13362409704238701</v>
      </c>
      <c r="BQ6">
        <v>1</v>
      </c>
    </row>
    <row r="7" spans="1:69" x14ac:dyDescent="0.35">
      <c r="A7" t="s">
        <v>74</v>
      </c>
      <c r="B7">
        <v>758</v>
      </c>
      <c r="C7">
        <v>10941</v>
      </c>
      <c r="D7">
        <v>17131</v>
      </c>
      <c r="E7">
        <v>10</v>
      </c>
      <c r="F7">
        <v>50</v>
      </c>
      <c r="G7">
        <v>1.614304561</v>
      </c>
      <c r="H7">
        <v>6519</v>
      </c>
      <c r="I7">
        <v>14</v>
      </c>
      <c r="J7">
        <v>10612</v>
      </c>
      <c r="K7">
        <v>100</v>
      </c>
      <c r="L7">
        <v>0</v>
      </c>
      <c r="M7">
        <v>40</v>
      </c>
      <c r="N7">
        <v>8</v>
      </c>
      <c r="O7">
        <v>181.66998680738701</v>
      </c>
      <c r="P7">
        <v>6519</v>
      </c>
      <c r="Q7">
        <v>0</v>
      </c>
      <c r="R7">
        <v>0.774309147160119</v>
      </c>
      <c r="S7" s="1">
        <v>3.4468285008241798E-6</v>
      </c>
      <c r="T7">
        <v>0.123892358881559</v>
      </c>
      <c r="U7">
        <v>1</v>
      </c>
      <c r="V7">
        <v>4</v>
      </c>
      <c r="W7">
        <v>1130.0131926121301</v>
      </c>
      <c r="X7">
        <v>6519</v>
      </c>
      <c r="Y7">
        <v>0</v>
      </c>
      <c r="Z7">
        <v>1</v>
      </c>
      <c r="AA7">
        <v>4.7709085740825802E-2</v>
      </c>
      <c r="AB7">
        <v>0.123892358881559</v>
      </c>
      <c r="AC7">
        <v>1</v>
      </c>
      <c r="AD7">
        <v>4</v>
      </c>
      <c r="AE7">
        <v>1130.0131926121301</v>
      </c>
      <c r="AF7">
        <v>6519</v>
      </c>
      <c r="AG7">
        <v>0</v>
      </c>
      <c r="AH7">
        <v>1</v>
      </c>
      <c r="AI7">
        <v>4.7709085740825802E-2</v>
      </c>
      <c r="AJ7">
        <v>0.123892358881559</v>
      </c>
      <c r="AK7">
        <v>1</v>
      </c>
      <c r="AL7">
        <v>1</v>
      </c>
      <c r="AM7">
        <v>1130.0131926121301</v>
      </c>
      <c r="AN7">
        <v>6530.41</v>
      </c>
      <c r="AO7">
        <v>11.41</v>
      </c>
      <c r="AP7">
        <v>1</v>
      </c>
      <c r="AQ7">
        <v>0.106012611103632</v>
      </c>
      <c r="AR7">
        <v>0.123892358881559</v>
      </c>
      <c r="AS7">
        <v>0.99810855197954196</v>
      </c>
      <c r="AT7">
        <v>0</v>
      </c>
      <c r="AU7">
        <v>1130.0131926121301</v>
      </c>
      <c r="AV7">
        <v>10107.11</v>
      </c>
      <c r="AW7">
        <v>3588.11</v>
      </c>
      <c r="AX7">
        <v>0</v>
      </c>
      <c r="AY7">
        <v>0.123892358881559</v>
      </c>
      <c r="AZ7">
        <v>0.123892358881559</v>
      </c>
      <c r="BA7">
        <v>0</v>
      </c>
      <c r="BB7">
        <v>0</v>
      </c>
      <c r="BC7">
        <v>1130.0131926121301</v>
      </c>
      <c r="BD7">
        <v>10107.11</v>
      </c>
      <c r="BE7">
        <v>3588.11</v>
      </c>
      <c r="BF7">
        <v>0</v>
      </c>
      <c r="BG7">
        <v>0.123892358881559</v>
      </c>
      <c r="BH7">
        <v>0.123892358881559</v>
      </c>
      <c r="BI7">
        <v>0</v>
      </c>
      <c r="BJ7">
        <v>3</v>
      </c>
      <c r="BK7">
        <v>1130.0131926121301</v>
      </c>
      <c r="BL7">
        <v>6519.06</v>
      </c>
      <c r="BM7">
        <v>0.06</v>
      </c>
      <c r="BN7">
        <v>1</v>
      </c>
      <c r="BO7">
        <v>6.7970594554850702E-2</v>
      </c>
      <c r="BP7">
        <v>0.123892358881559</v>
      </c>
      <c r="BQ7">
        <v>1</v>
      </c>
    </row>
    <row r="8" spans="1:69" x14ac:dyDescent="0.35">
      <c r="A8" t="s">
        <v>75</v>
      </c>
      <c r="B8">
        <v>13</v>
      </c>
      <c r="C8">
        <v>34</v>
      </c>
      <c r="D8">
        <v>110</v>
      </c>
      <c r="E8">
        <v>10</v>
      </c>
      <c r="F8">
        <v>13</v>
      </c>
      <c r="G8">
        <v>4.230769231</v>
      </c>
      <c r="H8">
        <v>84</v>
      </c>
      <c r="I8">
        <v>2</v>
      </c>
      <c r="J8">
        <v>26</v>
      </c>
      <c r="K8">
        <v>100</v>
      </c>
      <c r="L8">
        <v>0</v>
      </c>
      <c r="M8">
        <v>10</v>
      </c>
      <c r="N8">
        <v>3</v>
      </c>
      <c r="O8">
        <v>32.375384615384597</v>
      </c>
      <c r="P8">
        <v>84</v>
      </c>
      <c r="Q8">
        <v>0</v>
      </c>
      <c r="R8">
        <v>0.78248484848484801</v>
      </c>
      <c r="S8">
        <v>1.6181818181818101E-3</v>
      </c>
      <c r="T8">
        <v>0.18181818181818099</v>
      </c>
      <c r="U8">
        <v>1</v>
      </c>
      <c r="V8">
        <v>1</v>
      </c>
      <c r="W8">
        <v>110</v>
      </c>
      <c r="X8">
        <v>84</v>
      </c>
      <c r="Y8">
        <v>0</v>
      </c>
      <c r="Z8">
        <v>1</v>
      </c>
      <c r="AA8">
        <v>0.11363636363636299</v>
      </c>
      <c r="AB8">
        <v>0.18181818181818099</v>
      </c>
      <c r="AC8">
        <v>0.99884615384615305</v>
      </c>
      <c r="AD8">
        <v>1</v>
      </c>
      <c r="AE8">
        <v>110</v>
      </c>
      <c r="AF8">
        <v>84</v>
      </c>
      <c r="AG8">
        <v>0</v>
      </c>
      <c r="AH8">
        <v>1</v>
      </c>
      <c r="AI8">
        <v>0.11363636363636299</v>
      </c>
      <c r="AJ8">
        <v>0.18181818181818099</v>
      </c>
      <c r="AK8">
        <v>0.99884615384615305</v>
      </c>
      <c r="AL8">
        <v>1</v>
      </c>
      <c r="AM8">
        <v>110</v>
      </c>
      <c r="AN8">
        <v>84</v>
      </c>
      <c r="AO8">
        <v>0</v>
      </c>
      <c r="AP8">
        <v>1</v>
      </c>
      <c r="AQ8">
        <v>0.11363636363636299</v>
      </c>
      <c r="AR8">
        <v>0.18181818181818099</v>
      </c>
      <c r="AS8">
        <v>0.99884615384615305</v>
      </c>
      <c r="AT8">
        <v>0</v>
      </c>
      <c r="AU8">
        <v>110</v>
      </c>
      <c r="AV8">
        <v>90</v>
      </c>
      <c r="AW8">
        <v>6</v>
      </c>
      <c r="AX8">
        <v>0</v>
      </c>
      <c r="AY8">
        <v>0.18181818181818099</v>
      </c>
      <c r="AZ8">
        <v>0.18181818181818099</v>
      </c>
      <c r="BA8">
        <v>0</v>
      </c>
      <c r="BB8">
        <v>0</v>
      </c>
      <c r="BC8">
        <v>110</v>
      </c>
      <c r="BD8">
        <v>90</v>
      </c>
      <c r="BE8">
        <v>6</v>
      </c>
      <c r="BF8">
        <v>0</v>
      </c>
      <c r="BG8">
        <v>0.18181818181818099</v>
      </c>
      <c r="BH8">
        <v>0.18181818181818099</v>
      </c>
      <c r="BI8">
        <v>0</v>
      </c>
      <c r="BJ8">
        <v>2</v>
      </c>
      <c r="BK8">
        <v>90.496153846153803</v>
      </c>
      <c r="BL8">
        <v>84</v>
      </c>
      <c r="BM8">
        <v>0</v>
      </c>
      <c r="BN8">
        <v>0.98659090909090896</v>
      </c>
      <c r="BO8">
        <v>3.5495867768595001E-2</v>
      </c>
      <c r="BP8">
        <v>0.18181818181818099</v>
      </c>
      <c r="BQ8">
        <v>1</v>
      </c>
    </row>
    <row r="9" spans="1:69" x14ac:dyDescent="0.35">
      <c r="A9" t="s">
        <v>76</v>
      </c>
      <c r="B9">
        <v>79</v>
      </c>
      <c r="C9">
        <v>398</v>
      </c>
      <c r="D9">
        <v>599</v>
      </c>
      <c r="E9">
        <v>10</v>
      </c>
      <c r="F9">
        <v>50</v>
      </c>
      <c r="G9">
        <v>1.516455696</v>
      </c>
      <c r="H9">
        <v>204</v>
      </c>
      <c r="I9">
        <v>5</v>
      </c>
      <c r="J9">
        <v>395</v>
      </c>
      <c r="K9">
        <v>100</v>
      </c>
      <c r="L9">
        <v>0</v>
      </c>
      <c r="M9">
        <v>40</v>
      </c>
      <c r="N9">
        <v>9</v>
      </c>
      <c r="O9">
        <v>69.632278481012605</v>
      </c>
      <c r="P9">
        <v>204</v>
      </c>
      <c r="Q9">
        <v>0</v>
      </c>
      <c r="R9">
        <v>0.73260063068076398</v>
      </c>
      <c r="S9" s="1">
        <v>2.2395048658332898E-5</v>
      </c>
      <c r="T9">
        <v>0.13188647746243701</v>
      </c>
      <c r="U9">
        <v>1</v>
      </c>
      <c r="V9">
        <v>4</v>
      </c>
      <c r="W9">
        <v>379.05594936708798</v>
      </c>
      <c r="X9">
        <v>204</v>
      </c>
      <c r="Y9">
        <v>0</v>
      </c>
      <c r="Z9">
        <v>0.99999165275459001</v>
      </c>
      <c r="AA9">
        <v>5.63990709152936E-2</v>
      </c>
      <c r="AB9">
        <v>0.13188647746243701</v>
      </c>
      <c r="AC9">
        <v>1</v>
      </c>
      <c r="AD9">
        <v>4</v>
      </c>
      <c r="AE9">
        <v>379.05594936708798</v>
      </c>
      <c r="AF9">
        <v>204</v>
      </c>
      <c r="AG9">
        <v>0</v>
      </c>
      <c r="AH9">
        <v>0.99999165275459001</v>
      </c>
      <c r="AI9">
        <v>5.63990709152936E-2</v>
      </c>
      <c r="AJ9">
        <v>0.13188647746243701</v>
      </c>
      <c r="AK9">
        <v>1</v>
      </c>
      <c r="AL9">
        <v>1</v>
      </c>
      <c r="AM9">
        <v>379.11392405063202</v>
      </c>
      <c r="AN9">
        <v>210.78</v>
      </c>
      <c r="AO9">
        <v>6.78</v>
      </c>
      <c r="AP9">
        <v>1</v>
      </c>
      <c r="AQ9">
        <v>0.11416987496167</v>
      </c>
      <c r="AR9">
        <v>0.13188647746243701</v>
      </c>
      <c r="AS9">
        <v>0.977366245998748</v>
      </c>
      <c r="AT9">
        <v>0</v>
      </c>
      <c r="AU9">
        <v>379.11392405063202</v>
      </c>
      <c r="AV9">
        <v>411.25</v>
      </c>
      <c r="AW9">
        <v>207.25</v>
      </c>
      <c r="AX9">
        <v>0</v>
      </c>
      <c r="AY9">
        <v>0.13188647746243701</v>
      </c>
      <c r="AZ9">
        <v>0.13188647746243701</v>
      </c>
      <c r="BA9">
        <v>0</v>
      </c>
      <c r="BB9">
        <v>0</v>
      </c>
      <c r="BC9">
        <v>379.11392405063202</v>
      </c>
      <c r="BD9">
        <v>411.25</v>
      </c>
      <c r="BE9">
        <v>207.25</v>
      </c>
      <c r="BF9">
        <v>0</v>
      </c>
      <c r="BG9">
        <v>0.13188647746243701</v>
      </c>
      <c r="BH9">
        <v>0.13188647746243701</v>
      </c>
      <c r="BI9">
        <v>0</v>
      </c>
      <c r="BJ9">
        <v>4</v>
      </c>
      <c r="BK9">
        <v>379.05594936708798</v>
      </c>
      <c r="BL9">
        <v>204</v>
      </c>
      <c r="BM9">
        <v>0</v>
      </c>
      <c r="BN9">
        <v>0.99999165275459001</v>
      </c>
      <c r="BO9">
        <v>5.63990709152936E-2</v>
      </c>
      <c r="BP9">
        <v>0.13188647746243701</v>
      </c>
      <c r="BQ9">
        <v>1</v>
      </c>
    </row>
    <row r="10" spans="1:69" x14ac:dyDescent="0.35">
      <c r="A10" t="s">
        <v>77</v>
      </c>
      <c r="B10">
        <v>329</v>
      </c>
      <c r="C10">
        <v>1600</v>
      </c>
      <c r="D10">
        <v>5964</v>
      </c>
      <c r="E10">
        <v>10</v>
      </c>
      <c r="F10">
        <v>50</v>
      </c>
      <c r="G10">
        <v>4.5319148939999998</v>
      </c>
      <c r="H10">
        <v>4648</v>
      </c>
      <c r="I10">
        <v>4</v>
      </c>
      <c r="J10">
        <v>1316</v>
      </c>
      <c r="K10">
        <v>100</v>
      </c>
      <c r="L10">
        <v>0</v>
      </c>
      <c r="M10">
        <v>40</v>
      </c>
      <c r="N10">
        <v>3</v>
      </c>
      <c r="O10">
        <v>67.963525835866193</v>
      </c>
      <c r="P10">
        <v>4648</v>
      </c>
      <c r="Q10">
        <v>0</v>
      </c>
      <c r="R10">
        <v>0.73464062150681797</v>
      </c>
      <c r="S10" s="1">
        <v>5.6402243246714302E-5</v>
      </c>
      <c r="T10">
        <v>4.4131455399061E-2</v>
      </c>
      <c r="U10">
        <v>1</v>
      </c>
      <c r="V10">
        <v>2</v>
      </c>
      <c r="W10">
        <v>657.33577507598704</v>
      </c>
      <c r="X10">
        <v>4648</v>
      </c>
      <c r="Y10">
        <v>0</v>
      </c>
      <c r="Z10">
        <v>0.97280013413816202</v>
      </c>
      <c r="AA10">
        <v>5.4369271182651401E-3</v>
      </c>
      <c r="AB10">
        <v>4.4131455399061E-2</v>
      </c>
      <c r="AC10">
        <v>1</v>
      </c>
      <c r="AD10">
        <v>2</v>
      </c>
      <c r="AE10">
        <v>657.33577507598704</v>
      </c>
      <c r="AF10">
        <v>4648</v>
      </c>
      <c r="AG10">
        <v>0</v>
      </c>
      <c r="AH10">
        <v>0.97280013413816202</v>
      </c>
      <c r="AI10">
        <v>5.4369271182651401E-3</v>
      </c>
      <c r="AJ10">
        <v>4.4131455399061E-2</v>
      </c>
      <c r="AK10">
        <v>1</v>
      </c>
      <c r="AL10">
        <v>1</v>
      </c>
      <c r="AM10">
        <v>906.38297872340399</v>
      </c>
      <c r="AN10">
        <v>4648.01</v>
      </c>
      <c r="AO10">
        <v>0.01</v>
      </c>
      <c r="AP10">
        <v>1</v>
      </c>
      <c r="AQ10">
        <v>2.4623934080674498E-2</v>
      </c>
      <c r="AR10">
        <v>4.4131455399061E-2</v>
      </c>
      <c r="AS10">
        <v>0.99999239543726204</v>
      </c>
      <c r="AT10">
        <v>0</v>
      </c>
      <c r="AU10">
        <v>906.38297872340399</v>
      </c>
      <c r="AV10">
        <v>5077.66</v>
      </c>
      <c r="AW10">
        <v>429.66</v>
      </c>
      <c r="AX10">
        <v>0</v>
      </c>
      <c r="AY10">
        <v>4.4131455399061E-2</v>
      </c>
      <c r="AZ10">
        <v>4.4131455399061E-2</v>
      </c>
      <c r="BA10">
        <v>0</v>
      </c>
      <c r="BB10">
        <v>0</v>
      </c>
      <c r="BC10">
        <v>906.38297872340399</v>
      </c>
      <c r="BD10">
        <v>5077.66</v>
      </c>
      <c r="BE10">
        <v>429.66</v>
      </c>
      <c r="BF10">
        <v>0</v>
      </c>
      <c r="BG10">
        <v>4.4131455399061E-2</v>
      </c>
      <c r="BH10">
        <v>4.4131455399061E-2</v>
      </c>
      <c r="BI10">
        <v>0</v>
      </c>
      <c r="BJ10">
        <v>2</v>
      </c>
      <c r="BK10">
        <v>657.33577507598704</v>
      </c>
      <c r="BL10">
        <v>4648</v>
      </c>
      <c r="BM10">
        <v>0</v>
      </c>
      <c r="BN10">
        <v>0.97280013413816202</v>
      </c>
      <c r="BO10">
        <v>5.4369271182651401E-3</v>
      </c>
      <c r="BP10">
        <v>4.4131455399061E-2</v>
      </c>
      <c r="BQ10">
        <v>1</v>
      </c>
    </row>
    <row r="11" spans="1:69" x14ac:dyDescent="0.35">
      <c r="A11" t="s">
        <v>78</v>
      </c>
      <c r="B11">
        <v>91</v>
      </c>
      <c r="C11">
        <v>411</v>
      </c>
      <c r="D11">
        <v>2134</v>
      </c>
      <c r="E11">
        <v>10</v>
      </c>
      <c r="F11">
        <v>50</v>
      </c>
      <c r="G11">
        <v>5.8626373630000002</v>
      </c>
      <c r="H11">
        <v>1770</v>
      </c>
      <c r="I11">
        <v>4</v>
      </c>
      <c r="J11">
        <v>364</v>
      </c>
      <c r="K11">
        <v>100</v>
      </c>
      <c r="L11">
        <v>0</v>
      </c>
      <c r="M11">
        <v>40</v>
      </c>
      <c r="N11">
        <v>3</v>
      </c>
      <c r="O11">
        <v>70.351648351648294</v>
      </c>
      <c r="P11">
        <v>1770</v>
      </c>
      <c r="Q11">
        <v>0</v>
      </c>
      <c r="R11">
        <v>0.56857232114963996</v>
      </c>
      <c r="S11">
        <v>0</v>
      </c>
      <c r="T11">
        <v>3.4114339268978403E-2</v>
      </c>
      <c r="U11">
        <v>1</v>
      </c>
      <c r="V11">
        <v>1</v>
      </c>
      <c r="W11">
        <v>1171.62329670329</v>
      </c>
      <c r="X11">
        <v>1770</v>
      </c>
      <c r="Y11">
        <v>0</v>
      </c>
      <c r="Z11">
        <v>0.99997188378631596</v>
      </c>
      <c r="AA11">
        <v>1.4402960809440901E-2</v>
      </c>
      <c r="AB11">
        <v>3.4114339268978403E-2</v>
      </c>
      <c r="AC11">
        <v>1</v>
      </c>
      <c r="AD11">
        <v>1</v>
      </c>
      <c r="AE11">
        <v>1171.62329670329</v>
      </c>
      <c r="AF11">
        <v>1770</v>
      </c>
      <c r="AG11">
        <v>0</v>
      </c>
      <c r="AH11">
        <v>0.99997188378631596</v>
      </c>
      <c r="AI11">
        <v>1.4402960809440901E-2</v>
      </c>
      <c r="AJ11">
        <v>3.4114339268978403E-2</v>
      </c>
      <c r="AK11">
        <v>1</v>
      </c>
      <c r="AL11">
        <v>1</v>
      </c>
      <c r="AM11">
        <v>1171.62329670329</v>
      </c>
      <c r="AN11">
        <v>1770</v>
      </c>
      <c r="AO11">
        <v>0</v>
      </c>
      <c r="AP11">
        <v>0.99997188378631596</v>
      </c>
      <c r="AQ11">
        <v>1.4402960809440901E-2</v>
      </c>
      <c r="AR11">
        <v>3.4114339268978403E-2</v>
      </c>
      <c r="AS11">
        <v>1</v>
      </c>
      <c r="AT11">
        <v>0</v>
      </c>
      <c r="AU11">
        <v>1172.5274725274701</v>
      </c>
      <c r="AV11">
        <v>1921.99</v>
      </c>
      <c r="AW11">
        <v>151.99</v>
      </c>
      <c r="AX11">
        <v>0</v>
      </c>
      <c r="AY11">
        <v>3.4114339268978403E-2</v>
      </c>
      <c r="AZ11">
        <v>3.4114339268978403E-2</v>
      </c>
      <c r="BA11">
        <v>0</v>
      </c>
      <c r="BB11">
        <v>0</v>
      </c>
      <c r="BC11">
        <v>1172.5274725274701</v>
      </c>
      <c r="BD11">
        <v>1921.99</v>
      </c>
      <c r="BE11">
        <v>151.99</v>
      </c>
      <c r="BF11">
        <v>0</v>
      </c>
      <c r="BG11">
        <v>3.4114339268978403E-2</v>
      </c>
      <c r="BH11">
        <v>3.4114339268978403E-2</v>
      </c>
      <c r="BI11">
        <v>0</v>
      </c>
      <c r="BJ11">
        <v>1</v>
      </c>
      <c r="BK11">
        <v>1171.62329670329</v>
      </c>
      <c r="BL11">
        <v>1770</v>
      </c>
      <c r="BM11">
        <v>0</v>
      </c>
      <c r="BN11">
        <v>0.99997188378631596</v>
      </c>
      <c r="BO11">
        <v>1.4402960809440901E-2</v>
      </c>
      <c r="BP11">
        <v>3.4114339268978403E-2</v>
      </c>
      <c r="BQ11">
        <v>1</v>
      </c>
    </row>
    <row r="12" spans="1:69" x14ac:dyDescent="0.35">
      <c r="A12" t="s">
        <v>79</v>
      </c>
      <c r="B12">
        <v>27</v>
      </c>
      <c r="C12">
        <v>52</v>
      </c>
      <c r="D12">
        <v>299</v>
      </c>
      <c r="E12">
        <v>10</v>
      </c>
      <c r="F12">
        <v>27</v>
      </c>
      <c r="G12">
        <v>11.07407407</v>
      </c>
      <c r="H12">
        <v>272</v>
      </c>
      <c r="I12">
        <v>1</v>
      </c>
      <c r="J12">
        <v>27</v>
      </c>
      <c r="K12">
        <v>100</v>
      </c>
      <c r="L12">
        <v>0</v>
      </c>
      <c r="M12">
        <v>24</v>
      </c>
      <c r="N12">
        <v>2</v>
      </c>
      <c r="O12">
        <v>22.148148148148099</v>
      </c>
      <c r="P12">
        <v>272</v>
      </c>
      <c r="Q12">
        <v>0</v>
      </c>
      <c r="R12">
        <v>0.451505016722408</v>
      </c>
      <c r="S12">
        <v>0</v>
      </c>
      <c r="T12">
        <v>3.3444816053511697E-2</v>
      </c>
      <c r="U12">
        <v>1</v>
      </c>
      <c r="V12">
        <v>1</v>
      </c>
      <c r="W12">
        <v>106.358148148148</v>
      </c>
      <c r="X12">
        <v>272</v>
      </c>
      <c r="Y12">
        <v>0</v>
      </c>
      <c r="Z12">
        <v>0.83344481605351095</v>
      </c>
      <c r="AA12">
        <v>2.6755852842809298E-3</v>
      </c>
      <c r="AB12">
        <v>3.3444816053511697E-2</v>
      </c>
      <c r="AC12">
        <v>1</v>
      </c>
      <c r="AD12">
        <v>1</v>
      </c>
      <c r="AE12">
        <v>106.358148148148</v>
      </c>
      <c r="AF12">
        <v>272</v>
      </c>
      <c r="AG12">
        <v>0</v>
      </c>
      <c r="AH12">
        <v>0.83344481605351095</v>
      </c>
      <c r="AI12">
        <v>2.6755852842809298E-3</v>
      </c>
      <c r="AJ12">
        <v>3.3444816053511697E-2</v>
      </c>
      <c r="AK12">
        <v>1</v>
      </c>
      <c r="AL12">
        <v>1</v>
      </c>
      <c r="AM12">
        <v>106.358148148148</v>
      </c>
      <c r="AN12">
        <v>272</v>
      </c>
      <c r="AO12">
        <v>0</v>
      </c>
      <c r="AP12">
        <v>0.83344481605351095</v>
      </c>
      <c r="AQ12">
        <v>2.6755852842809298E-3</v>
      </c>
      <c r="AR12">
        <v>3.3444816053511697E-2</v>
      </c>
      <c r="AS12">
        <v>1</v>
      </c>
      <c r="AT12">
        <v>0</v>
      </c>
      <c r="AU12">
        <v>299</v>
      </c>
      <c r="AV12">
        <v>289</v>
      </c>
      <c r="AW12">
        <v>17</v>
      </c>
      <c r="AX12">
        <v>0</v>
      </c>
      <c r="AY12">
        <v>3.3444816053511697E-2</v>
      </c>
      <c r="AZ12">
        <v>3.3444816053511697E-2</v>
      </c>
      <c r="BA12">
        <v>0</v>
      </c>
      <c r="BB12">
        <v>0</v>
      </c>
      <c r="BC12">
        <v>299</v>
      </c>
      <c r="BD12">
        <v>289</v>
      </c>
      <c r="BE12">
        <v>17</v>
      </c>
      <c r="BF12">
        <v>0</v>
      </c>
      <c r="BG12">
        <v>3.3444816053511697E-2</v>
      </c>
      <c r="BH12">
        <v>3.3444816053511697E-2</v>
      </c>
      <c r="BI12">
        <v>0</v>
      </c>
      <c r="BJ12">
        <v>1</v>
      </c>
      <c r="BK12">
        <v>106.358148148148</v>
      </c>
      <c r="BL12">
        <v>272</v>
      </c>
      <c r="BM12">
        <v>0</v>
      </c>
      <c r="BN12">
        <v>0.83344481605351095</v>
      </c>
      <c r="BO12">
        <v>2.6755852842809298E-3</v>
      </c>
      <c r="BP12">
        <v>3.3444816053511697E-2</v>
      </c>
      <c r="BQ12">
        <v>1</v>
      </c>
    </row>
    <row r="13" spans="1:69" x14ac:dyDescent="0.35">
      <c r="A13" t="s">
        <v>80</v>
      </c>
      <c r="B13">
        <v>121</v>
      </c>
      <c r="C13">
        <v>268</v>
      </c>
      <c r="D13">
        <v>476</v>
      </c>
      <c r="E13">
        <v>10</v>
      </c>
      <c r="F13">
        <v>50</v>
      </c>
      <c r="G13">
        <v>1.9669421490000001</v>
      </c>
      <c r="H13">
        <v>234</v>
      </c>
      <c r="I13">
        <v>2</v>
      </c>
      <c r="J13">
        <v>242</v>
      </c>
      <c r="K13">
        <v>100</v>
      </c>
      <c r="L13">
        <v>0</v>
      </c>
      <c r="M13">
        <v>40</v>
      </c>
      <c r="N13">
        <v>8</v>
      </c>
      <c r="O13">
        <v>32.798347107437998</v>
      </c>
      <c r="P13">
        <v>234.09</v>
      </c>
      <c r="Q13">
        <v>0.09</v>
      </c>
      <c r="R13">
        <v>0.63502363445378096</v>
      </c>
      <c r="S13" s="1">
        <v>9.1536614645858298E-5</v>
      </c>
      <c r="T13">
        <v>0.10168067226890699</v>
      </c>
      <c r="U13">
        <v>1</v>
      </c>
      <c r="V13">
        <v>4</v>
      </c>
      <c r="W13">
        <v>168.187933884297</v>
      </c>
      <c r="X13">
        <v>234</v>
      </c>
      <c r="Y13">
        <v>0</v>
      </c>
      <c r="Z13">
        <v>0.98208508403361305</v>
      </c>
      <c r="AA13">
        <v>2.5123766898063501E-2</v>
      </c>
      <c r="AB13">
        <v>0.10168067226890699</v>
      </c>
      <c r="AC13">
        <v>1</v>
      </c>
      <c r="AD13">
        <v>4</v>
      </c>
      <c r="AE13">
        <v>168.187933884297</v>
      </c>
      <c r="AF13">
        <v>234</v>
      </c>
      <c r="AG13">
        <v>0</v>
      </c>
      <c r="AH13">
        <v>0.98208508403361305</v>
      </c>
      <c r="AI13">
        <v>2.5123766898063501E-2</v>
      </c>
      <c r="AJ13">
        <v>0.10168067226890699</v>
      </c>
      <c r="AK13">
        <v>1</v>
      </c>
      <c r="AL13">
        <v>1</v>
      </c>
      <c r="AM13">
        <v>196.69421487603299</v>
      </c>
      <c r="AN13">
        <v>238.41</v>
      </c>
      <c r="AO13">
        <v>4.41</v>
      </c>
      <c r="AP13">
        <v>1</v>
      </c>
      <c r="AQ13">
        <v>8.33476247641914E-2</v>
      </c>
      <c r="AR13">
        <v>0.10168067226890699</v>
      </c>
      <c r="AS13">
        <v>0.962124042165031</v>
      </c>
      <c r="AT13">
        <v>0</v>
      </c>
      <c r="AU13">
        <v>196.69421487603299</v>
      </c>
      <c r="AV13">
        <v>333.06</v>
      </c>
      <c r="AW13">
        <v>99.06</v>
      </c>
      <c r="AX13">
        <v>0</v>
      </c>
      <c r="AY13">
        <v>0.10168067226890699</v>
      </c>
      <c r="AZ13">
        <v>0.10168067226890699</v>
      </c>
      <c r="BA13">
        <v>0</v>
      </c>
      <c r="BB13">
        <v>0</v>
      </c>
      <c r="BC13">
        <v>196.69421487603299</v>
      </c>
      <c r="BD13">
        <v>333.06</v>
      </c>
      <c r="BE13">
        <v>99.06</v>
      </c>
      <c r="BF13">
        <v>0</v>
      </c>
      <c r="BG13">
        <v>0.10168067226890699</v>
      </c>
      <c r="BH13">
        <v>0.10168067226890699</v>
      </c>
      <c r="BI13">
        <v>0</v>
      </c>
      <c r="BJ13">
        <v>4</v>
      </c>
      <c r="BK13">
        <v>168.187933884297</v>
      </c>
      <c r="BL13">
        <v>234</v>
      </c>
      <c r="BM13">
        <v>0</v>
      </c>
      <c r="BN13">
        <v>0.98208508403361305</v>
      </c>
      <c r="BO13">
        <v>2.5123766898063501E-2</v>
      </c>
      <c r="BP13">
        <v>0.10168067226890699</v>
      </c>
      <c r="BQ13">
        <v>1</v>
      </c>
    </row>
    <row r="14" spans="1:69" x14ac:dyDescent="0.35">
      <c r="A14" t="s">
        <v>81</v>
      </c>
      <c r="B14">
        <v>159</v>
      </c>
      <c r="C14">
        <v>932</v>
      </c>
      <c r="D14">
        <v>1776</v>
      </c>
      <c r="E14">
        <v>10</v>
      </c>
      <c r="F14">
        <v>50</v>
      </c>
      <c r="G14">
        <v>2.2339622640000001</v>
      </c>
      <c r="H14">
        <v>981</v>
      </c>
      <c r="I14">
        <v>5</v>
      </c>
      <c r="J14">
        <v>795</v>
      </c>
      <c r="K14">
        <v>100</v>
      </c>
      <c r="L14">
        <v>0</v>
      </c>
      <c r="M14">
        <v>40</v>
      </c>
      <c r="N14">
        <v>6</v>
      </c>
      <c r="O14">
        <v>71.893836477987406</v>
      </c>
      <c r="P14">
        <v>981</v>
      </c>
      <c r="Q14">
        <v>0</v>
      </c>
      <c r="R14">
        <v>0.74560998498498399</v>
      </c>
      <c r="S14" s="1">
        <v>6.1169123669123604E-5</v>
      </c>
      <c r="T14">
        <v>8.9527027027026904E-2</v>
      </c>
      <c r="U14">
        <v>1</v>
      </c>
      <c r="V14">
        <v>3</v>
      </c>
      <c r="W14">
        <v>556.54352201257802</v>
      </c>
      <c r="X14">
        <v>981</v>
      </c>
      <c r="Y14">
        <v>0</v>
      </c>
      <c r="Z14">
        <v>0.99981043543543502</v>
      </c>
      <c r="AA14">
        <v>3.1423830745639203E-2</v>
      </c>
      <c r="AB14">
        <v>8.9527027027026904E-2</v>
      </c>
      <c r="AC14">
        <v>1</v>
      </c>
      <c r="AD14">
        <v>3</v>
      </c>
      <c r="AE14">
        <v>556.54352201257802</v>
      </c>
      <c r="AF14">
        <v>981</v>
      </c>
      <c r="AG14">
        <v>0</v>
      </c>
      <c r="AH14">
        <v>0.99981043543543502</v>
      </c>
      <c r="AI14">
        <v>3.1423830745639203E-2</v>
      </c>
      <c r="AJ14">
        <v>8.9527027027026904E-2</v>
      </c>
      <c r="AK14">
        <v>1</v>
      </c>
      <c r="AL14">
        <v>1</v>
      </c>
      <c r="AM14">
        <v>558.49056603773499</v>
      </c>
      <c r="AN14">
        <v>981.67</v>
      </c>
      <c r="AO14">
        <v>0.67</v>
      </c>
      <c r="AP14">
        <v>1</v>
      </c>
      <c r="AQ14">
        <v>7.0945945945945901E-2</v>
      </c>
      <c r="AR14">
        <v>8.9527027027026904E-2</v>
      </c>
      <c r="AS14">
        <v>0.99745702478021103</v>
      </c>
      <c r="AT14">
        <v>0</v>
      </c>
      <c r="AU14">
        <v>558.49056603773499</v>
      </c>
      <c r="AV14">
        <v>1240.25</v>
      </c>
      <c r="AW14">
        <v>259.25</v>
      </c>
      <c r="AX14">
        <v>0</v>
      </c>
      <c r="AY14">
        <v>8.9527027027026904E-2</v>
      </c>
      <c r="AZ14">
        <v>8.9527027027026904E-2</v>
      </c>
      <c r="BA14">
        <v>0</v>
      </c>
      <c r="BB14">
        <v>0</v>
      </c>
      <c r="BC14">
        <v>558.49056603773499</v>
      </c>
      <c r="BD14">
        <v>1240.25</v>
      </c>
      <c r="BE14">
        <v>259.25</v>
      </c>
      <c r="BF14">
        <v>0</v>
      </c>
      <c r="BG14">
        <v>8.9527027027026904E-2</v>
      </c>
      <c r="BH14">
        <v>8.9527027027026904E-2</v>
      </c>
      <c r="BI14">
        <v>0</v>
      </c>
      <c r="BJ14">
        <v>2</v>
      </c>
      <c r="BK14">
        <v>558.49056603773499</v>
      </c>
      <c r="BL14">
        <v>981.01</v>
      </c>
      <c r="BM14">
        <v>0.01</v>
      </c>
      <c r="BN14">
        <v>1</v>
      </c>
      <c r="BO14">
        <v>5.1590653153153102E-2</v>
      </c>
      <c r="BP14">
        <v>8.9527027027026904E-2</v>
      </c>
      <c r="BQ14">
        <v>1</v>
      </c>
    </row>
    <row r="15" spans="1:69" x14ac:dyDescent="0.35">
      <c r="A15" t="s">
        <v>82</v>
      </c>
      <c r="B15">
        <v>295</v>
      </c>
      <c r="C15">
        <v>1587</v>
      </c>
      <c r="D15">
        <v>2151</v>
      </c>
      <c r="E15">
        <v>10</v>
      </c>
      <c r="F15">
        <v>50</v>
      </c>
      <c r="G15">
        <v>1.4583050849999999</v>
      </c>
      <c r="H15">
        <v>676</v>
      </c>
      <c r="I15">
        <v>5</v>
      </c>
      <c r="J15">
        <v>1475</v>
      </c>
      <c r="K15">
        <v>100</v>
      </c>
      <c r="L15">
        <v>0</v>
      </c>
      <c r="M15">
        <v>40</v>
      </c>
      <c r="N15">
        <v>9</v>
      </c>
      <c r="O15">
        <v>70.280101694915203</v>
      </c>
      <c r="P15">
        <v>676.21</v>
      </c>
      <c r="Q15">
        <v>0.21</v>
      </c>
      <c r="R15">
        <v>0.76119944211994395</v>
      </c>
      <c r="S15">
        <v>1.5806601580660101E-4</v>
      </c>
      <c r="T15">
        <v>0.137145513714551</v>
      </c>
      <c r="U15">
        <v>1</v>
      </c>
      <c r="V15">
        <v>4</v>
      </c>
      <c r="W15">
        <v>364.52006779661002</v>
      </c>
      <c r="X15">
        <v>676</v>
      </c>
      <c r="Y15">
        <v>0</v>
      </c>
      <c r="Z15">
        <v>0.99999418874941803</v>
      </c>
      <c r="AA15">
        <v>6.2115194146301997E-2</v>
      </c>
      <c r="AB15">
        <v>0.137145513714551</v>
      </c>
      <c r="AC15">
        <v>1</v>
      </c>
      <c r="AD15">
        <v>4</v>
      </c>
      <c r="AE15">
        <v>364.52006779661002</v>
      </c>
      <c r="AF15">
        <v>676</v>
      </c>
      <c r="AG15">
        <v>0</v>
      </c>
      <c r="AH15">
        <v>0.99999418874941803</v>
      </c>
      <c r="AI15">
        <v>6.2115194146301997E-2</v>
      </c>
      <c r="AJ15">
        <v>0.137145513714551</v>
      </c>
      <c r="AK15">
        <v>1</v>
      </c>
      <c r="AL15">
        <v>1</v>
      </c>
      <c r="AM15">
        <v>364.57627118644001</v>
      </c>
      <c r="AN15">
        <v>700.87</v>
      </c>
      <c r="AO15">
        <v>24.87</v>
      </c>
      <c r="AP15">
        <v>1</v>
      </c>
      <c r="AQ15">
        <v>0.119536238484236</v>
      </c>
      <c r="AR15">
        <v>0.137145513714551</v>
      </c>
      <c r="AS15">
        <v>0.96690568204968996</v>
      </c>
      <c r="AT15">
        <v>0</v>
      </c>
      <c r="AU15">
        <v>364.57627118644001</v>
      </c>
      <c r="AV15">
        <v>1156.8399999999999</v>
      </c>
      <c r="AW15">
        <v>480.84</v>
      </c>
      <c r="AX15">
        <v>0</v>
      </c>
      <c r="AY15">
        <v>0.137145513714551</v>
      </c>
      <c r="AZ15">
        <v>0.137145513714551</v>
      </c>
      <c r="BA15">
        <v>0</v>
      </c>
      <c r="BB15">
        <v>0</v>
      </c>
      <c r="BC15">
        <v>364.57627118644001</v>
      </c>
      <c r="BD15">
        <v>1156.8399999999999</v>
      </c>
      <c r="BE15">
        <v>480.84</v>
      </c>
      <c r="BF15">
        <v>0</v>
      </c>
      <c r="BG15">
        <v>0.137145513714551</v>
      </c>
      <c r="BH15">
        <v>0.137145513714551</v>
      </c>
      <c r="BI15">
        <v>0</v>
      </c>
      <c r="BJ15">
        <v>4</v>
      </c>
      <c r="BK15">
        <v>364.52006779661002</v>
      </c>
      <c r="BL15">
        <v>676</v>
      </c>
      <c r="BM15">
        <v>0</v>
      </c>
      <c r="BN15">
        <v>0.99999418874941803</v>
      </c>
      <c r="BO15">
        <v>6.2115194146301997E-2</v>
      </c>
      <c r="BP15">
        <v>0.137145513714551</v>
      </c>
      <c r="BQ15">
        <v>1</v>
      </c>
    </row>
    <row r="16" spans="1:69" x14ac:dyDescent="0.35">
      <c r="A16" t="s">
        <v>83</v>
      </c>
      <c r="B16">
        <v>216</v>
      </c>
      <c r="C16">
        <v>929</v>
      </c>
      <c r="D16">
        <v>1590</v>
      </c>
      <c r="E16">
        <v>10</v>
      </c>
      <c r="F16">
        <v>50</v>
      </c>
      <c r="G16">
        <v>1.8402777779999999</v>
      </c>
      <c r="H16">
        <v>726</v>
      </c>
      <c r="I16">
        <v>4</v>
      </c>
      <c r="J16">
        <v>864</v>
      </c>
      <c r="K16">
        <v>100</v>
      </c>
      <c r="L16">
        <v>0</v>
      </c>
      <c r="M16">
        <v>40</v>
      </c>
      <c r="N16">
        <v>8</v>
      </c>
      <c r="O16">
        <v>59.612175925925897</v>
      </c>
      <c r="P16">
        <v>726</v>
      </c>
      <c r="Q16">
        <v>0</v>
      </c>
      <c r="R16">
        <v>0.67915959119496805</v>
      </c>
      <c r="S16" s="1">
        <v>1.63222521713087E-5</v>
      </c>
      <c r="T16">
        <v>0.10867924528301801</v>
      </c>
      <c r="U16">
        <v>1</v>
      </c>
      <c r="V16">
        <v>4</v>
      </c>
      <c r="W16">
        <v>356.67787037036999</v>
      </c>
      <c r="X16">
        <v>726</v>
      </c>
      <c r="Y16">
        <v>0</v>
      </c>
      <c r="Z16">
        <v>0.99781918238993605</v>
      </c>
      <c r="AA16">
        <v>3.1362729012852003E-2</v>
      </c>
      <c r="AB16">
        <v>0.10867924528301801</v>
      </c>
      <c r="AC16">
        <v>1</v>
      </c>
      <c r="AD16">
        <v>4</v>
      </c>
      <c r="AE16">
        <v>356.67787037036999</v>
      </c>
      <c r="AF16">
        <v>726</v>
      </c>
      <c r="AG16">
        <v>0</v>
      </c>
      <c r="AH16">
        <v>0.99781918238993605</v>
      </c>
      <c r="AI16">
        <v>3.1362729012852003E-2</v>
      </c>
      <c r="AJ16">
        <v>0.10867924528301801</v>
      </c>
      <c r="AK16">
        <v>1</v>
      </c>
      <c r="AL16">
        <v>1</v>
      </c>
      <c r="AM16">
        <v>368.05555555555497</v>
      </c>
      <c r="AN16">
        <v>732.42</v>
      </c>
      <c r="AO16">
        <v>6.42</v>
      </c>
      <c r="AP16">
        <v>1</v>
      </c>
      <c r="AQ16">
        <v>9.0489025798998798E-2</v>
      </c>
      <c r="AR16">
        <v>0.10867924528301801</v>
      </c>
      <c r="AS16">
        <v>0.98325329208593903</v>
      </c>
      <c r="AT16">
        <v>0</v>
      </c>
      <c r="AU16">
        <v>368.05555555555497</v>
      </c>
      <c r="AV16">
        <v>1010.08</v>
      </c>
      <c r="AW16">
        <v>284.08</v>
      </c>
      <c r="AX16">
        <v>0</v>
      </c>
      <c r="AY16">
        <v>0.10867924528301801</v>
      </c>
      <c r="AZ16">
        <v>0.10867924528301801</v>
      </c>
      <c r="BA16">
        <v>0</v>
      </c>
      <c r="BB16">
        <v>0</v>
      </c>
      <c r="BC16">
        <v>368.05555555555497</v>
      </c>
      <c r="BD16">
        <v>1010.08</v>
      </c>
      <c r="BE16">
        <v>284.08</v>
      </c>
      <c r="BF16">
        <v>0</v>
      </c>
      <c r="BG16">
        <v>0.10867924528301801</v>
      </c>
      <c r="BH16">
        <v>0.10867924528301801</v>
      </c>
      <c r="BI16">
        <v>0</v>
      </c>
      <c r="BJ16">
        <v>4</v>
      </c>
      <c r="BK16">
        <v>356.67787037036999</v>
      </c>
      <c r="BL16">
        <v>726</v>
      </c>
      <c r="BM16">
        <v>0</v>
      </c>
      <c r="BN16">
        <v>0.99781918238993605</v>
      </c>
      <c r="BO16">
        <v>3.1362729012852003E-2</v>
      </c>
      <c r="BP16">
        <v>0.10867924528301801</v>
      </c>
      <c r="BQ16">
        <v>1</v>
      </c>
    </row>
    <row r="17" spans="1:69" x14ac:dyDescent="0.35">
      <c r="A17" t="s">
        <v>84</v>
      </c>
      <c r="B17">
        <v>139</v>
      </c>
      <c r="C17">
        <v>394</v>
      </c>
      <c r="D17">
        <v>552</v>
      </c>
      <c r="E17">
        <v>10</v>
      </c>
      <c r="F17">
        <v>50</v>
      </c>
      <c r="G17">
        <v>1.9856115110000001</v>
      </c>
      <c r="H17">
        <v>274</v>
      </c>
      <c r="I17">
        <v>2</v>
      </c>
      <c r="J17">
        <v>278</v>
      </c>
      <c r="K17">
        <v>100</v>
      </c>
      <c r="L17">
        <v>0</v>
      </c>
      <c r="M17">
        <v>40</v>
      </c>
      <c r="N17">
        <v>8</v>
      </c>
      <c r="O17">
        <v>33.0738129496402</v>
      </c>
      <c r="P17">
        <v>274.02</v>
      </c>
      <c r="Q17">
        <v>0.02</v>
      </c>
      <c r="R17">
        <v>0.62903985507246296</v>
      </c>
      <c r="S17" s="1">
        <v>9.3167701863354E-5</v>
      </c>
      <c r="T17">
        <v>0.100724637681159</v>
      </c>
      <c r="U17">
        <v>1</v>
      </c>
      <c r="V17">
        <v>5</v>
      </c>
      <c r="W17">
        <v>107.42179856115099</v>
      </c>
      <c r="X17">
        <v>274</v>
      </c>
      <c r="Y17">
        <v>0</v>
      </c>
      <c r="Z17">
        <v>0.91808333333333303</v>
      </c>
      <c r="AA17">
        <v>9.9070048309178697E-3</v>
      </c>
      <c r="AB17">
        <v>0.100724637681159</v>
      </c>
      <c r="AC17">
        <v>1</v>
      </c>
      <c r="AD17">
        <v>5</v>
      </c>
      <c r="AE17">
        <v>107.42179856115099</v>
      </c>
      <c r="AF17">
        <v>274</v>
      </c>
      <c r="AG17">
        <v>0</v>
      </c>
      <c r="AH17">
        <v>0.91808333333333303</v>
      </c>
      <c r="AI17">
        <v>9.9070048309178697E-3</v>
      </c>
      <c r="AJ17">
        <v>0.100724637681159</v>
      </c>
      <c r="AK17">
        <v>1</v>
      </c>
      <c r="AL17">
        <v>1</v>
      </c>
      <c r="AM17">
        <v>198.56115107913601</v>
      </c>
      <c r="AN17">
        <v>277.79000000000002</v>
      </c>
      <c r="AO17">
        <v>3.79</v>
      </c>
      <c r="AP17">
        <v>1</v>
      </c>
      <c r="AQ17">
        <v>8.2372079266489207E-2</v>
      </c>
      <c r="AR17">
        <v>0.100724637681159</v>
      </c>
      <c r="AS17">
        <v>0.95748575873745201</v>
      </c>
      <c r="AT17">
        <v>0</v>
      </c>
      <c r="AU17">
        <v>198.56115107913601</v>
      </c>
      <c r="AV17">
        <v>376.35</v>
      </c>
      <c r="AW17">
        <v>102.35</v>
      </c>
      <c r="AX17">
        <v>0</v>
      </c>
      <c r="AY17">
        <v>0.100724637681159</v>
      </c>
      <c r="AZ17">
        <v>0.100724637681159</v>
      </c>
      <c r="BA17">
        <v>0</v>
      </c>
      <c r="BB17">
        <v>0</v>
      </c>
      <c r="BC17">
        <v>198.56115107913601</v>
      </c>
      <c r="BD17">
        <v>376.35</v>
      </c>
      <c r="BE17">
        <v>102.35</v>
      </c>
      <c r="BF17">
        <v>0</v>
      </c>
      <c r="BG17">
        <v>0.100724637681159</v>
      </c>
      <c r="BH17">
        <v>0.100724637681159</v>
      </c>
      <c r="BI17">
        <v>0</v>
      </c>
      <c r="BJ17">
        <v>4</v>
      </c>
      <c r="BK17">
        <v>167.381510791366</v>
      </c>
      <c r="BL17">
        <v>274.01</v>
      </c>
      <c r="BM17">
        <v>0.01</v>
      </c>
      <c r="BN17">
        <v>0.98078351449275303</v>
      </c>
      <c r="BO17">
        <v>2.4197778827977301E-2</v>
      </c>
      <c r="BP17">
        <v>0.100724637681159</v>
      </c>
      <c r="BQ17">
        <v>1</v>
      </c>
    </row>
    <row r="18" spans="1:69" x14ac:dyDescent="0.35">
      <c r="A18" t="s">
        <v>85</v>
      </c>
      <c r="B18">
        <v>175</v>
      </c>
      <c r="C18">
        <v>622</v>
      </c>
      <c r="D18">
        <v>1018</v>
      </c>
      <c r="E18">
        <v>10</v>
      </c>
      <c r="F18">
        <v>50</v>
      </c>
      <c r="G18">
        <v>1.9390476189999999</v>
      </c>
      <c r="H18">
        <v>493</v>
      </c>
      <c r="I18">
        <v>3</v>
      </c>
      <c r="J18">
        <v>525</v>
      </c>
      <c r="K18">
        <v>100</v>
      </c>
      <c r="L18">
        <v>0</v>
      </c>
      <c r="M18">
        <v>40</v>
      </c>
      <c r="N18">
        <v>8</v>
      </c>
      <c r="O18">
        <v>47.248857142857098</v>
      </c>
      <c r="P18">
        <v>493.03</v>
      </c>
      <c r="Q18">
        <v>0.03</v>
      </c>
      <c r="R18">
        <v>0.64450761296660097</v>
      </c>
      <c r="S18" s="1">
        <v>2.6429039199176701E-5</v>
      </c>
      <c r="T18">
        <v>0.103143418467583</v>
      </c>
      <c r="U18">
        <v>1</v>
      </c>
      <c r="V18">
        <v>4</v>
      </c>
      <c r="W18">
        <v>265.03777142857098</v>
      </c>
      <c r="X18">
        <v>493</v>
      </c>
      <c r="Y18">
        <v>0</v>
      </c>
      <c r="Z18">
        <v>0.99153978388997999</v>
      </c>
      <c r="AA18">
        <v>2.5891560604766301E-2</v>
      </c>
      <c r="AB18">
        <v>0.103143418467583</v>
      </c>
      <c r="AC18">
        <v>1</v>
      </c>
      <c r="AD18">
        <v>4</v>
      </c>
      <c r="AE18">
        <v>265.03777142857098</v>
      </c>
      <c r="AF18">
        <v>493</v>
      </c>
      <c r="AG18">
        <v>0</v>
      </c>
      <c r="AH18">
        <v>0.99153978388997999</v>
      </c>
      <c r="AI18">
        <v>2.5891560604766301E-2</v>
      </c>
      <c r="AJ18">
        <v>0.103143418467583</v>
      </c>
      <c r="AK18">
        <v>1</v>
      </c>
      <c r="AL18">
        <v>1</v>
      </c>
      <c r="AM18">
        <v>290.85714285714198</v>
      </c>
      <c r="AN18">
        <v>496.91</v>
      </c>
      <c r="AO18">
        <v>3.91</v>
      </c>
      <c r="AP18">
        <v>1</v>
      </c>
      <c r="AQ18">
        <v>8.4840222926105602E-2</v>
      </c>
      <c r="AR18">
        <v>0.103143418467583</v>
      </c>
      <c r="AS18">
        <v>0.976470966103136</v>
      </c>
      <c r="AT18">
        <v>0</v>
      </c>
      <c r="AU18">
        <v>290.85714285714198</v>
      </c>
      <c r="AV18">
        <v>663.59</v>
      </c>
      <c r="AW18">
        <v>170.59</v>
      </c>
      <c r="AX18">
        <v>0</v>
      </c>
      <c r="AY18">
        <v>0.103143418467583</v>
      </c>
      <c r="AZ18">
        <v>0.103143418467583</v>
      </c>
      <c r="BA18">
        <v>0</v>
      </c>
      <c r="BB18">
        <v>0</v>
      </c>
      <c r="BC18">
        <v>290.85714285714198</v>
      </c>
      <c r="BD18">
        <v>663.59</v>
      </c>
      <c r="BE18">
        <v>170.59</v>
      </c>
      <c r="BF18">
        <v>0</v>
      </c>
      <c r="BG18">
        <v>0.103143418467583</v>
      </c>
      <c r="BH18">
        <v>0.103143418467583</v>
      </c>
      <c r="BI18">
        <v>0</v>
      </c>
      <c r="BJ18">
        <v>4</v>
      </c>
      <c r="BK18">
        <v>265.03777142857098</v>
      </c>
      <c r="BL18">
        <v>493</v>
      </c>
      <c r="BM18">
        <v>0</v>
      </c>
      <c r="BN18">
        <v>0.99153978388997999</v>
      </c>
      <c r="BO18">
        <v>2.5891560604766301E-2</v>
      </c>
      <c r="BP18">
        <v>0.103143418467583</v>
      </c>
      <c r="BQ18">
        <v>1</v>
      </c>
    </row>
    <row r="19" spans="1:69" x14ac:dyDescent="0.35">
      <c r="A19" t="s">
        <v>86</v>
      </c>
      <c r="B19">
        <v>250</v>
      </c>
      <c r="C19">
        <v>3135</v>
      </c>
      <c r="D19">
        <v>3998</v>
      </c>
      <c r="E19">
        <v>10</v>
      </c>
      <c r="F19">
        <v>50</v>
      </c>
      <c r="G19">
        <v>1.332666667</v>
      </c>
      <c r="H19">
        <v>998</v>
      </c>
      <c r="I19">
        <v>12</v>
      </c>
      <c r="J19">
        <v>3000</v>
      </c>
      <c r="K19">
        <v>100</v>
      </c>
      <c r="L19">
        <v>0</v>
      </c>
      <c r="M19">
        <v>40</v>
      </c>
      <c r="N19">
        <v>9</v>
      </c>
      <c r="O19">
        <v>154.37783999999999</v>
      </c>
      <c r="P19">
        <v>998</v>
      </c>
      <c r="Q19">
        <v>0</v>
      </c>
      <c r="R19">
        <v>0.83323995330998801</v>
      </c>
      <c r="S19">
        <v>1.12007223123756E-4</v>
      </c>
      <c r="T19">
        <v>0.150075037518759</v>
      </c>
      <c r="U19">
        <v>1</v>
      </c>
      <c r="V19">
        <v>4</v>
      </c>
      <c r="W19">
        <v>799.6</v>
      </c>
      <c r="X19">
        <v>998</v>
      </c>
      <c r="Y19">
        <v>0</v>
      </c>
      <c r="Z19">
        <v>1</v>
      </c>
      <c r="AA19">
        <v>7.6168519042129706E-2</v>
      </c>
      <c r="AB19">
        <v>0.150075037518759</v>
      </c>
      <c r="AC19">
        <v>1</v>
      </c>
      <c r="AD19">
        <v>4</v>
      </c>
      <c r="AE19">
        <v>799.6</v>
      </c>
      <c r="AF19">
        <v>998</v>
      </c>
      <c r="AG19">
        <v>0</v>
      </c>
      <c r="AH19">
        <v>1</v>
      </c>
      <c r="AI19">
        <v>7.6168519042129706E-2</v>
      </c>
      <c r="AJ19">
        <v>0.150075037518759</v>
      </c>
      <c r="AK19">
        <v>1</v>
      </c>
      <c r="AL19">
        <v>1</v>
      </c>
      <c r="AM19">
        <v>799.6</v>
      </c>
      <c r="AN19">
        <v>1028.42</v>
      </c>
      <c r="AO19">
        <v>30.42</v>
      </c>
      <c r="AP19">
        <v>1</v>
      </c>
      <c r="AQ19">
        <v>0.132729630121183</v>
      </c>
      <c r="AR19">
        <v>0.150075037518759</v>
      </c>
      <c r="AS19">
        <v>0.98675555786063796</v>
      </c>
      <c r="AT19">
        <v>0</v>
      </c>
      <c r="AU19">
        <v>799.6</v>
      </c>
      <c r="AV19">
        <v>2009.75</v>
      </c>
      <c r="AW19">
        <v>1011.75</v>
      </c>
      <c r="AX19">
        <v>0</v>
      </c>
      <c r="AY19">
        <v>0.150075037518759</v>
      </c>
      <c r="AZ19">
        <v>0.150075037518759</v>
      </c>
      <c r="BA19">
        <v>0</v>
      </c>
      <c r="BB19">
        <v>0</v>
      </c>
      <c r="BC19">
        <v>799.6</v>
      </c>
      <c r="BD19">
        <v>2009.75</v>
      </c>
      <c r="BE19">
        <v>1011.75</v>
      </c>
      <c r="BF19">
        <v>0</v>
      </c>
      <c r="BG19">
        <v>0.150075037518759</v>
      </c>
      <c r="BH19">
        <v>0.150075037518759</v>
      </c>
      <c r="BI19">
        <v>0</v>
      </c>
      <c r="BJ19">
        <v>4</v>
      </c>
      <c r="BK19">
        <v>799.6</v>
      </c>
      <c r="BL19">
        <v>998</v>
      </c>
      <c r="BM19">
        <v>0</v>
      </c>
      <c r="BN19">
        <v>1</v>
      </c>
      <c r="BO19">
        <v>7.6168519042129706E-2</v>
      </c>
      <c r="BP19">
        <v>0.150075037518759</v>
      </c>
      <c r="BQ19">
        <v>1</v>
      </c>
    </row>
    <row r="20" spans="1:69" x14ac:dyDescent="0.35">
      <c r="A20" t="s">
        <v>87</v>
      </c>
      <c r="B20">
        <v>12</v>
      </c>
      <c r="C20">
        <v>58</v>
      </c>
      <c r="D20">
        <v>601</v>
      </c>
      <c r="E20">
        <v>10</v>
      </c>
      <c r="F20">
        <v>12</v>
      </c>
      <c r="G20">
        <v>12.52083333</v>
      </c>
      <c r="H20">
        <v>553</v>
      </c>
      <c r="I20">
        <v>4</v>
      </c>
      <c r="J20">
        <v>48</v>
      </c>
      <c r="K20">
        <v>100</v>
      </c>
      <c r="L20">
        <v>0</v>
      </c>
      <c r="M20">
        <v>9</v>
      </c>
      <c r="N20">
        <v>1</v>
      </c>
      <c r="O20">
        <v>66.991666666666603</v>
      </c>
      <c r="P20">
        <v>553</v>
      </c>
      <c r="Q20">
        <v>0</v>
      </c>
      <c r="R20">
        <v>0.79710482529118099</v>
      </c>
      <c r="S20">
        <v>1.4218726365148901E-4</v>
      </c>
      <c r="T20">
        <v>6.6555740432612295E-2</v>
      </c>
      <c r="U20">
        <v>1</v>
      </c>
      <c r="V20">
        <v>1</v>
      </c>
      <c r="W20">
        <v>66.991666666666603</v>
      </c>
      <c r="X20">
        <v>553</v>
      </c>
      <c r="Y20">
        <v>0</v>
      </c>
      <c r="Z20">
        <v>0.79710482529118099</v>
      </c>
      <c r="AA20">
        <v>1.4218726365148901E-4</v>
      </c>
      <c r="AB20">
        <v>6.6555740432612295E-2</v>
      </c>
      <c r="AC20">
        <v>1</v>
      </c>
      <c r="AD20">
        <v>1</v>
      </c>
      <c r="AE20">
        <v>66.991666666666603</v>
      </c>
      <c r="AF20">
        <v>553</v>
      </c>
      <c r="AG20">
        <v>0</v>
      </c>
      <c r="AH20">
        <v>0.79710482529118099</v>
      </c>
      <c r="AI20">
        <v>1.4218726365148901E-4</v>
      </c>
      <c r="AJ20">
        <v>6.6555740432612295E-2</v>
      </c>
      <c r="AK20">
        <v>1</v>
      </c>
      <c r="AL20">
        <v>1</v>
      </c>
      <c r="AM20">
        <v>66.991666666666603</v>
      </c>
      <c r="AN20">
        <v>553</v>
      </c>
      <c r="AO20">
        <v>0</v>
      </c>
      <c r="AP20">
        <v>0.79710482529118099</v>
      </c>
      <c r="AQ20">
        <v>1.4218726365148901E-4</v>
      </c>
      <c r="AR20">
        <v>6.6555740432612295E-2</v>
      </c>
      <c r="AS20">
        <v>1</v>
      </c>
      <c r="AT20">
        <v>0</v>
      </c>
      <c r="AU20">
        <v>601</v>
      </c>
      <c r="AV20">
        <v>561</v>
      </c>
      <c r="AW20">
        <v>8</v>
      </c>
      <c r="AX20">
        <v>0</v>
      </c>
      <c r="AY20">
        <v>6.6555740432612295E-2</v>
      </c>
      <c r="AZ20">
        <v>6.6555740432612295E-2</v>
      </c>
      <c r="BA20">
        <v>0</v>
      </c>
      <c r="BB20">
        <v>0</v>
      </c>
      <c r="BC20">
        <v>601</v>
      </c>
      <c r="BD20">
        <v>561</v>
      </c>
      <c r="BE20">
        <v>8</v>
      </c>
      <c r="BF20">
        <v>0</v>
      </c>
      <c r="BG20">
        <v>6.6555740432612295E-2</v>
      </c>
      <c r="BH20">
        <v>6.6555740432612295E-2</v>
      </c>
      <c r="BI20">
        <v>0</v>
      </c>
      <c r="BJ20">
        <v>1</v>
      </c>
      <c r="BK20">
        <v>66.991666666666603</v>
      </c>
      <c r="BL20">
        <v>553</v>
      </c>
      <c r="BM20">
        <v>0</v>
      </c>
      <c r="BN20">
        <v>0.79710482529118099</v>
      </c>
      <c r="BO20">
        <v>1.4218726365148901E-4</v>
      </c>
      <c r="BP20">
        <v>6.6555740432612295E-2</v>
      </c>
      <c r="BQ20">
        <v>1</v>
      </c>
    </row>
    <row r="21" spans="1:69" x14ac:dyDescent="0.35">
      <c r="A21" t="s">
        <v>88</v>
      </c>
      <c r="B21">
        <v>55</v>
      </c>
      <c r="C21">
        <v>240</v>
      </c>
      <c r="D21">
        <v>782</v>
      </c>
      <c r="E21">
        <v>10</v>
      </c>
      <c r="F21">
        <v>50</v>
      </c>
      <c r="G21">
        <v>3.554545455</v>
      </c>
      <c r="H21">
        <v>562</v>
      </c>
      <c r="I21">
        <v>4</v>
      </c>
      <c r="J21">
        <v>220</v>
      </c>
      <c r="K21">
        <v>100</v>
      </c>
      <c r="L21">
        <v>0</v>
      </c>
      <c r="M21">
        <v>40</v>
      </c>
      <c r="N21">
        <v>4</v>
      </c>
      <c r="O21">
        <v>60.704727272727197</v>
      </c>
      <c r="P21">
        <v>562</v>
      </c>
      <c r="Q21">
        <v>0</v>
      </c>
      <c r="R21">
        <v>0.70308823529411701</v>
      </c>
      <c r="S21" s="1">
        <v>2.0571555654397799E-5</v>
      </c>
      <c r="T21">
        <v>5.6265984654731399E-2</v>
      </c>
      <c r="U21">
        <v>1</v>
      </c>
      <c r="V21">
        <v>2</v>
      </c>
      <c r="W21">
        <v>700.20763636363597</v>
      </c>
      <c r="X21">
        <v>562</v>
      </c>
      <c r="Y21">
        <v>0</v>
      </c>
      <c r="Z21">
        <v>0.99895140664961601</v>
      </c>
      <c r="AA21">
        <v>1.6987425404944499E-2</v>
      </c>
      <c r="AB21">
        <v>5.6265984654731399E-2</v>
      </c>
      <c r="AC21">
        <v>1</v>
      </c>
      <c r="AD21">
        <v>2</v>
      </c>
      <c r="AE21">
        <v>700.20763636363597</v>
      </c>
      <c r="AF21">
        <v>562</v>
      </c>
      <c r="AG21">
        <v>0</v>
      </c>
      <c r="AH21">
        <v>0.99895140664961601</v>
      </c>
      <c r="AI21">
        <v>1.6987425404944499E-2</v>
      </c>
      <c r="AJ21">
        <v>5.6265984654731399E-2</v>
      </c>
      <c r="AK21">
        <v>1</v>
      </c>
      <c r="AL21">
        <v>1</v>
      </c>
      <c r="AM21">
        <v>710.90909090908997</v>
      </c>
      <c r="AN21">
        <v>562.02</v>
      </c>
      <c r="AO21">
        <v>0.02</v>
      </c>
      <c r="AP21">
        <v>1</v>
      </c>
      <c r="AQ21">
        <v>3.7006106790542302E-2</v>
      </c>
      <c r="AR21">
        <v>5.6265984654731399E-2</v>
      </c>
      <c r="AS21">
        <v>0.99972727272727202</v>
      </c>
      <c r="AT21">
        <v>0</v>
      </c>
      <c r="AU21">
        <v>710.90909090908997</v>
      </c>
      <c r="AV21">
        <v>713.66</v>
      </c>
      <c r="AW21">
        <v>151.66</v>
      </c>
      <c r="AX21">
        <v>0</v>
      </c>
      <c r="AY21">
        <v>5.6265984654731399E-2</v>
      </c>
      <c r="AZ21">
        <v>5.6265984654731399E-2</v>
      </c>
      <c r="BA21">
        <v>0</v>
      </c>
      <c r="BB21">
        <v>0</v>
      </c>
      <c r="BC21">
        <v>710.90909090908997</v>
      </c>
      <c r="BD21">
        <v>713.66</v>
      </c>
      <c r="BE21">
        <v>151.66</v>
      </c>
      <c r="BF21">
        <v>0</v>
      </c>
      <c r="BG21">
        <v>5.6265984654731399E-2</v>
      </c>
      <c r="BH21">
        <v>5.6265984654731399E-2</v>
      </c>
      <c r="BI21">
        <v>0</v>
      </c>
      <c r="BJ21">
        <v>2</v>
      </c>
      <c r="BK21">
        <v>700.20763636363597</v>
      </c>
      <c r="BL21">
        <v>562</v>
      </c>
      <c r="BM21">
        <v>0</v>
      </c>
      <c r="BN21">
        <v>0.99895140664961601</v>
      </c>
      <c r="BO21">
        <v>1.6987425404944499E-2</v>
      </c>
      <c r="BP21">
        <v>5.6265984654731399E-2</v>
      </c>
      <c r="BQ21">
        <v>1</v>
      </c>
    </row>
    <row r="22" spans="1:69" x14ac:dyDescent="0.35">
      <c r="A22" t="s">
        <v>89</v>
      </c>
      <c r="B22">
        <v>91</v>
      </c>
      <c r="C22">
        <v>221</v>
      </c>
      <c r="D22">
        <v>396</v>
      </c>
      <c r="E22">
        <v>10</v>
      </c>
      <c r="F22">
        <v>50</v>
      </c>
      <c r="G22">
        <v>2.1758241759999999</v>
      </c>
      <c r="H22">
        <v>214</v>
      </c>
      <c r="I22">
        <v>2</v>
      </c>
      <c r="J22">
        <v>182</v>
      </c>
      <c r="K22">
        <v>100</v>
      </c>
      <c r="L22">
        <v>0</v>
      </c>
      <c r="M22">
        <v>40</v>
      </c>
      <c r="N22">
        <v>7</v>
      </c>
      <c r="O22">
        <v>32.635604395604297</v>
      </c>
      <c r="P22">
        <v>214</v>
      </c>
      <c r="Q22">
        <v>0</v>
      </c>
      <c r="R22">
        <v>0.655804473304473</v>
      </c>
      <c r="S22">
        <v>1.2391355414611199E-4</v>
      </c>
      <c r="T22">
        <v>9.19191919191919E-2</v>
      </c>
      <c r="U22">
        <v>1</v>
      </c>
      <c r="V22">
        <v>4</v>
      </c>
      <c r="W22">
        <v>161.93164835164799</v>
      </c>
      <c r="X22">
        <v>214</v>
      </c>
      <c r="Y22">
        <v>0</v>
      </c>
      <c r="Z22">
        <v>0.96231060606060603</v>
      </c>
      <c r="AA22">
        <v>1.6232981993851502E-2</v>
      </c>
      <c r="AB22">
        <v>9.19191919191919E-2</v>
      </c>
      <c r="AC22">
        <v>1</v>
      </c>
      <c r="AD22">
        <v>4</v>
      </c>
      <c r="AE22">
        <v>161.93164835164799</v>
      </c>
      <c r="AF22">
        <v>214</v>
      </c>
      <c r="AG22">
        <v>0</v>
      </c>
      <c r="AH22">
        <v>0.96231060606060603</v>
      </c>
      <c r="AI22">
        <v>1.6232981993851502E-2</v>
      </c>
      <c r="AJ22">
        <v>9.19191919191919E-2</v>
      </c>
      <c r="AK22">
        <v>1</v>
      </c>
      <c r="AL22">
        <v>1</v>
      </c>
      <c r="AM22">
        <v>217.58241758241701</v>
      </c>
      <c r="AN22">
        <v>216.02</v>
      </c>
      <c r="AO22">
        <v>2.02</v>
      </c>
      <c r="AP22">
        <v>1</v>
      </c>
      <c r="AQ22">
        <v>7.3386930529787606E-2</v>
      </c>
      <c r="AR22">
        <v>9.19191919191919E-2</v>
      </c>
      <c r="AS22">
        <v>0.97229291457768896</v>
      </c>
      <c r="AT22">
        <v>0</v>
      </c>
      <c r="AU22">
        <v>217.58241758241701</v>
      </c>
      <c r="AV22">
        <v>290.19</v>
      </c>
      <c r="AW22">
        <v>76.19</v>
      </c>
      <c r="AX22">
        <v>0</v>
      </c>
      <c r="AY22">
        <v>9.19191919191919E-2</v>
      </c>
      <c r="AZ22">
        <v>9.19191919191919E-2</v>
      </c>
      <c r="BA22">
        <v>0</v>
      </c>
      <c r="BB22">
        <v>0</v>
      </c>
      <c r="BC22">
        <v>217.58241758241701</v>
      </c>
      <c r="BD22">
        <v>290.19</v>
      </c>
      <c r="BE22">
        <v>76.19</v>
      </c>
      <c r="BF22">
        <v>0</v>
      </c>
      <c r="BG22">
        <v>9.19191919191919E-2</v>
      </c>
      <c r="BH22">
        <v>9.19191919191919E-2</v>
      </c>
      <c r="BI22">
        <v>0</v>
      </c>
      <c r="BJ22">
        <v>4</v>
      </c>
      <c r="BK22">
        <v>161.93164835164799</v>
      </c>
      <c r="BL22">
        <v>214</v>
      </c>
      <c r="BM22">
        <v>0</v>
      </c>
      <c r="BN22">
        <v>0.96231060606060603</v>
      </c>
      <c r="BO22">
        <v>1.6232981993851502E-2</v>
      </c>
      <c r="BP22">
        <v>9.19191919191919E-2</v>
      </c>
      <c r="BQ22">
        <v>1</v>
      </c>
    </row>
    <row r="23" spans="1:69" x14ac:dyDescent="0.35">
      <c r="A23" t="s">
        <v>90</v>
      </c>
      <c r="B23">
        <v>404</v>
      </c>
      <c r="C23">
        <v>2388</v>
      </c>
      <c r="D23">
        <v>3278</v>
      </c>
      <c r="E23">
        <v>10</v>
      </c>
      <c r="F23">
        <v>50</v>
      </c>
      <c r="G23">
        <v>1.6227722769999999</v>
      </c>
      <c r="H23">
        <v>1258</v>
      </c>
      <c r="I23">
        <v>5</v>
      </c>
      <c r="J23">
        <v>2020</v>
      </c>
      <c r="K23">
        <v>100</v>
      </c>
      <c r="L23">
        <v>0</v>
      </c>
      <c r="M23">
        <v>40</v>
      </c>
      <c r="N23">
        <v>8</v>
      </c>
      <c r="O23">
        <v>72.417153465346502</v>
      </c>
      <c r="P23">
        <v>1258.02</v>
      </c>
      <c r="Q23">
        <v>0.02</v>
      </c>
      <c r="R23">
        <v>0.76924191580231804</v>
      </c>
      <c r="S23">
        <v>1.9901798425288301E-4</v>
      </c>
      <c r="T23">
        <v>0.123245881635143</v>
      </c>
      <c r="U23">
        <v>1</v>
      </c>
      <c r="V23">
        <v>4</v>
      </c>
      <c r="W23">
        <v>404.94782178217798</v>
      </c>
      <c r="X23">
        <v>1258</v>
      </c>
      <c r="Y23">
        <v>0</v>
      </c>
      <c r="Z23">
        <v>0.99990543014032895</v>
      </c>
      <c r="AA23">
        <v>4.70146165477359E-2</v>
      </c>
      <c r="AB23">
        <v>0.123245881635143</v>
      </c>
      <c r="AC23">
        <v>1</v>
      </c>
      <c r="AD23">
        <v>4</v>
      </c>
      <c r="AE23">
        <v>404.94782178217798</v>
      </c>
      <c r="AF23">
        <v>1258</v>
      </c>
      <c r="AG23">
        <v>0</v>
      </c>
      <c r="AH23">
        <v>0.99990543014032895</v>
      </c>
      <c r="AI23">
        <v>4.70146165477359E-2</v>
      </c>
      <c r="AJ23">
        <v>0.123245881635143</v>
      </c>
      <c r="AK23">
        <v>1</v>
      </c>
      <c r="AL23">
        <v>1</v>
      </c>
      <c r="AM23">
        <v>405.69306930693</v>
      </c>
      <c r="AN23">
        <v>1277</v>
      </c>
      <c r="AO23">
        <v>19</v>
      </c>
      <c r="AP23">
        <v>1</v>
      </c>
      <c r="AQ23">
        <v>0.105352940444023</v>
      </c>
      <c r="AR23">
        <v>0.123245881635143</v>
      </c>
      <c r="AS23">
        <v>0.98002899545650701</v>
      </c>
      <c r="AT23">
        <v>0</v>
      </c>
      <c r="AU23">
        <v>405.69306930693</v>
      </c>
      <c r="AV23">
        <v>1919.68</v>
      </c>
      <c r="AW23">
        <v>661.68</v>
      </c>
      <c r="AX23">
        <v>0</v>
      </c>
      <c r="AY23">
        <v>0.123245881635143</v>
      </c>
      <c r="AZ23">
        <v>0.123245881635143</v>
      </c>
      <c r="BA23">
        <v>0</v>
      </c>
      <c r="BB23">
        <v>0</v>
      </c>
      <c r="BC23">
        <v>405.69306930693</v>
      </c>
      <c r="BD23">
        <v>1919.68</v>
      </c>
      <c r="BE23">
        <v>661.68</v>
      </c>
      <c r="BF23">
        <v>0</v>
      </c>
      <c r="BG23">
        <v>0.123245881635143</v>
      </c>
      <c r="BH23">
        <v>0.123245881635143</v>
      </c>
      <c r="BI23">
        <v>0</v>
      </c>
      <c r="BJ23">
        <v>4</v>
      </c>
      <c r="BK23">
        <v>404.94782178217798</v>
      </c>
      <c r="BL23">
        <v>1258</v>
      </c>
      <c r="BM23">
        <v>0</v>
      </c>
      <c r="BN23">
        <v>0.99990543014032895</v>
      </c>
      <c r="BO23">
        <v>4.70146165477359E-2</v>
      </c>
      <c r="BP23">
        <v>0.123245881635143</v>
      </c>
      <c r="BQ23">
        <v>1</v>
      </c>
    </row>
    <row r="24" spans="1:69" x14ac:dyDescent="0.35">
      <c r="A24" t="s">
        <v>91</v>
      </c>
      <c r="B24">
        <v>35</v>
      </c>
      <c r="C24">
        <v>151</v>
      </c>
      <c r="D24">
        <v>1108</v>
      </c>
      <c r="E24">
        <v>10</v>
      </c>
      <c r="F24">
        <v>35</v>
      </c>
      <c r="G24">
        <v>7.914285714</v>
      </c>
      <c r="H24">
        <v>968</v>
      </c>
      <c r="I24">
        <v>4</v>
      </c>
      <c r="J24">
        <v>140</v>
      </c>
      <c r="K24">
        <v>100</v>
      </c>
      <c r="L24">
        <v>0</v>
      </c>
      <c r="M24">
        <v>32</v>
      </c>
      <c r="N24">
        <v>2</v>
      </c>
      <c r="O24">
        <v>63.314285714285603</v>
      </c>
      <c r="P24">
        <v>968</v>
      </c>
      <c r="Q24">
        <v>0</v>
      </c>
      <c r="R24">
        <v>0.63176895306859204</v>
      </c>
      <c r="S24">
        <v>0</v>
      </c>
      <c r="T24">
        <v>3.6101083032490898E-2</v>
      </c>
      <c r="U24">
        <v>1</v>
      </c>
      <c r="V24">
        <v>1</v>
      </c>
      <c r="W24">
        <v>1016.34685714285</v>
      </c>
      <c r="X24">
        <v>968</v>
      </c>
      <c r="Y24">
        <v>0</v>
      </c>
      <c r="Z24">
        <v>0.99384476534295996</v>
      </c>
      <c r="AA24">
        <v>7.9321511998301092E-3</v>
      </c>
      <c r="AB24">
        <v>3.6101083032490898E-2</v>
      </c>
      <c r="AC24">
        <v>1</v>
      </c>
      <c r="AD24">
        <v>1</v>
      </c>
      <c r="AE24">
        <v>1016.34685714285</v>
      </c>
      <c r="AF24">
        <v>968</v>
      </c>
      <c r="AG24">
        <v>0</v>
      </c>
      <c r="AH24">
        <v>0.99384476534295996</v>
      </c>
      <c r="AI24">
        <v>7.9321511998301092E-3</v>
      </c>
      <c r="AJ24">
        <v>3.6101083032490898E-2</v>
      </c>
      <c r="AK24">
        <v>1</v>
      </c>
      <c r="AL24">
        <v>1</v>
      </c>
      <c r="AM24">
        <v>1016.34685714285</v>
      </c>
      <c r="AN24">
        <v>968</v>
      </c>
      <c r="AO24">
        <v>0</v>
      </c>
      <c r="AP24">
        <v>0.99384476534295996</v>
      </c>
      <c r="AQ24">
        <v>7.9321511998301092E-3</v>
      </c>
      <c r="AR24">
        <v>3.6101083032490898E-2</v>
      </c>
      <c r="AS24">
        <v>1</v>
      </c>
      <c r="AT24">
        <v>0</v>
      </c>
      <c r="AU24">
        <v>1108</v>
      </c>
      <c r="AV24">
        <v>1068</v>
      </c>
      <c r="AW24">
        <v>100</v>
      </c>
      <c r="AX24">
        <v>0</v>
      </c>
      <c r="AY24">
        <v>3.6101083032490898E-2</v>
      </c>
      <c r="AZ24">
        <v>3.6101083032490898E-2</v>
      </c>
      <c r="BA24">
        <v>0</v>
      </c>
      <c r="BB24">
        <v>0</v>
      </c>
      <c r="BC24">
        <v>1108</v>
      </c>
      <c r="BD24">
        <v>1068</v>
      </c>
      <c r="BE24">
        <v>100</v>
      </c>
      <c r="BF24">
        <v>0</v>
      </c>
      <c r="BG24">
        <v>3.6101083032490898E-2</v>
      </c>
      <c r="BH24">
        <v>3.6101083032490898E-2</v>
      </c>
      <c r="BI24">
        <v>0</v>
      </c>
      <c r="BJ24">
        <v>1</v>
      </c>
      <c r="BK24">
        <v>1016.34685714285</v>
      </c>
      <c r="BL24">
        <v>968</v>
      </c>
      <c r="BM24">
        <v>0</v>
      </c>
      <c r="BN24">
        <v>0.99384476534295996</v>
      </c>
      <c r="BO24">
        <v>7.9321511998301092E-3</v>
      </c>
      <c r="BP24">
        <v>3.6101083032490898E-2</v>
      </c>
      <c r="BQ24">
        <v>1</v>
      </c>
    </row>
    <row r="25" spans="1:69" x14ac:dyDescent="0.35">
      <c r="A25" t="s">
        <v>92</v>
      </c>
      <c r="B25">
        <v>377</v>
      </c>
      <c r="C25">
        <v>1778</v>
      </c>
      <c r="D25">
        <v>3305</v>
      </c>
      <c r="E25">
        <v>10</v>
      </c>
      <c r="F25">
        <v>50</v>
      </c>
      <c r="G25">
        <v>2.191644562</v>
      </c>
      <c r="H25">
        <v>1797</v>
      </c>
      <c r="I25">
        <v>4</v>
      </c>
      <c r="J25">
        <v>1508</v>
      </c>
      <c r="K25">
        <v>100</v>
      </c>
      <c r="L25">
        <v>0</v>
      </c>
      <c r="M25">
        <v>40</v>
      </c>
      <c r="N25">
        <v>7</v>
      </c>
      <c r="O25">
        <v>61.842599469495902</v>
      </c>
      <c r="P25">
        <v>1797.02</v>
      </c>
      <c r="Q25">
        <v>0.02</v>
      </c>
      <c r="R25">
        <v>0.65177566457747904</v>
      </c>
      <c r="S25" s="1">
        <v>8.2327692361819596E-6</v>
      </c>
      <c r="T25">
        <v>9.1255673222390296E-2</v>
      </c>
      <c r="U25">
        <v>1</v>
      </c>
      <c r="V25">
        <v>4</v>
      </c>
      <c r="W25">
        <v>349.943183023872</v>
      </c>
      <c r="X25">
        <v>1797</v>
      </c>
      <c r="Y25">
        <v>0</v>
      </c>
      <c r="Z25">
        <v>0.98069364599092301</v>
      </c>
      <c r="AA25">
        <v>1.3913240807735301E-2</v>
      </c>
      <c r="AB25">
        <v>9.1255673222390296E-2</v>
      </c>
      <c r="AC25">
        <v>1</v>
      </c>
      <c r="AD25">
        <v>4</v>
      </c>
      <c r="AE25">
        <v>349.943183023872</v>
      </c>
      <c r="AF25">
        <v>1797</v>
      </c>
      <c r="AG25">
        <v>0</v>
      </c>
      <c r="AH25">
        <v>0.98069364599092301</v>
      </c>
      <c r="AI25">
        <v>1.3913240807735301E-2</v>
      </c>
      <c r="AJ25">
        <v>9.1255673222390296E-2</v>
      </c>
      <c r="AK25">
        <v>1</v>
      </c>
      <c r="AL25">
        <v>1</v>
      </c>
      <c r="AM25">
        <v>438.32891246684301</v>
      </c>
      <c r="AN25">
        <v>1800.66</v>
      </c>
      <c r="AO25">
        <v>3.66</v>
      </c>
      <c r="AP25">
        <v>1</v>
      </c>
      <c r="AQ25">
        <v>7.27098706350921E-2</v>
      </c>
      <c r="AR25">
        <v>9.1255673222390296E-2</v>
      </c>
      <c r="AS25">
        <v>0.99364449076489103</v>
      </c>
      <c r="AT25">
        <v>0</v>
      </c>
      <c r="AU25">
        <v>438.32891246684301</v>
      </c>
      <c r="AV25">
        <v>2287.87</v>
      </c>
      <c r="AW25">
        <v>490.87</v>
      </c>
      <c r="AX25">
        <v>0</v>
      </c>
      <c r="AY25">
        <v>9.1255673222390296E-2</v>
      </c>
      <c r="AZ25">
        <v>9.1255673222390296E-2</v>
      </c>
      <c r="BA25">
        <v>0</v>
      </c>
      <c r="BB25">
        <v>0</v>
      </c>
      <c r="BC25">
        <v>438.32891246684301</v>
      </c>
      <c r="BD25">
        <v>2287.87</v>
      </c>
      <c r="BE25">
        <v>490.87</v>
      </c>
      <c r="BF25">
        <v>0</v>
      </c>
      <c r="BG25">
        <v>9.1255673222390296E-2</v>
      </c>
      <c r="BH25">
        <v>9.1255673222390296E-2</v>
      </c>
      <c r="BI25">
        <v>0</v>
      </c>
      <c r="BJ25">
        <v>3</v>
      </c>
      <c r="BK25">
        <v>435.53389920424399</v>
      </c>
      <c r="BL25">
        <v>1797.01</v>
      </c>
      <c r="BM25">
        <v>0.01</v>
      </c>
      <c r="BN25">
        <v>0.99961674230963105</v>
      </c>
      <c r="BO25">
        <v>3.3275179450864202E-2</v>
      </c>
      <c r="BP25">
        <v>9.1255673222390296E-2</v>
      </c>
      <c r="BQ25">
        <v>1</v>
      </c>
    </row>
    <row r="26" spans="1:69" x14ac:dyDescent="0.35">
      <c r="A26" t="s">
        <v>93</v>
      </c>
      <c r="B26">
        <v>261</v>
      </c>
      <c r="C26">
        <v>1194</v>
      </c>
      <c r="D26">
        <v>2229</v>
      </c>
      <c r="E26">
        <v>10</v>
      </c>
      <c r="F26">
        <v>50</v>
      </c>
      <c r="G26">
        <v>2.1350574710000001</v>
      </c>
      <c r="H26">
        <v>1185</v>
      </c>
      <c r="I26">
        <v>4</v>
      </c>
      <c r="J26">
        <v>1044</v>
      </c>
      <c r="K26">
        <v>100</v>
      </c>
      <c r="L26">
        <v>0</v>
      </c>
      <c r="M26">
        <v>40</v>
      </c>
      <c r="N26">
        <v>7</v>
      </c>
      <c r="O26">
        <v>60.637049808429097</v>
      </c>
      <c r="P26">
        <v>1185</v>
      </c>
      <c r="Q26">
        <v>0</v>
      </c>
      <c r="R26">
        <v>0.66901108761135597</v>
      </c>
      <c r="S26" s="1">
        <v>1.4815278516802801E-5</v>
      </c>
      <c r="T26">
        <v>9.3674293405114295E-2</v>
      </c>
      <c r="U26">
        <v>1</v>
      </c>
      <c r="V26">
        <v>4</v>
      </c>
      <c r="W26">
        <v>359.41804597701099</v>
      </c>
      <c r="X26">
        <v>1185</v>
      </c>
      <c r="Y26">
        <v>0</v>
      </c>
      <c r="Z26">
        <v>0.98530282637954203</v>
      </c>
      <c r="AA26">
        <v>1.61413774942945E-2</v>
      </c>
      <c r="AB26">
        <v>9.3674293405114295E-2</v>
      </c>
      <c r="AC26">
        <v>1</v>
      </c>
      <c r="AD26">
        <v>4</v>
      </c>
      <c r="AE26">
        <v>359.41804597701099</v>
      </c>
      <c r="AF26">
        <v>1185</v>
      </c>
      <c r="AG26">
        <v>0</v>
      </c>
      <c r="AH26">
        <v>0.98530282637954203</v>
      </c>
      <c r="AI26">
        <v>1.61413774942945E-2</v>
      </c>
      <c r="AJ26">
        <v>9.3674293405114295E-2</v>
      </c>
      <c r="AK26">
        <v>1</v>
      </c>
      <c r="AL26">
        <v>1</v>
      </c>
      <c r="AM26">
        <v>427.01149425287298</v>
      </c>
      <c r="AN26">
        <v>1187.9100000000001</v>
      </c>
      <c r="AO26">
        <v>2.91</v>
      </c>
      <c r="AP26">
        <v>1</v>
      </c>
      <c r="AQ26">
        <v>7.5177850413382E-2</v>
      </c>
      <c r="AR26">
        <v>9.3674293405114295E-2</v>
      </c>
      <c r="AS26">
        <v>0.99282531602117696</v>
      </c>
      <c r="AT26">
        <v>0</v>
      </c>
      <c r="AU26">
        <v>427.01149425287298</v>
      </c>
      <c r="AV26">
        <v>1525.97</v>
      </c>
      <c r="AW26">
        <v>340.97</v>
      </c>
      <c r="AX26">
        <v>0</v>
      </c>
      <c r="AY26">
        <v>9.3674293405114295E-2</v>
      </c>
      <c r="AZ26">
        <v>9.3674293405114295E-2</v>
      </c>
      <c r="BA26">
        <v>0</v>
      </c>
      <c r="BB26">
        <v>0</v>
      </c>
      <c r="BC26">
        <v>427.01149425287298</v>
      </c>
      <c r="BD26">
        <v>1525.97</v>
      </c>
      <c r="BE26">
        <v>340.97</v>
      </c>
      <c r="BF26">
        <v>0</v>
      </c>
      <c r="BG26">
        <v>9.3674293405114295E-2</v>
      </c>
      <c r="BH26">
        <v>9.3674293405114295E-2</v>
      </c>
      <c r="BI26">
        <v>0</v>
      </c>
      <c r="BJ26">
        <v>3</v>
      </c>
      <c r="BK26">
        <v>425.15095785440599</v>
      </c>
      <c r="BL26">
        <v>1185.01</v>
      </c>
      <c r="BM26">
        <v>0.01</v>
      </c>
      <c r="BN26">
        <v>0.99973829819051896</v>
      </c>
      <c r="BO26">
        <v>3.5840420759237497E-2</v>
      </c>
      <c r="BP26">
        <v>9.3674293405114295E-2</v>
      </c>
      <c r="BQ26">
        <v>1</v>
      </c>
    </row>
    <row r="27" spans="1:69" x14ac:dyDescent="0.35">
      <c r="A27" t="s">
        <v>94</v>
      </c>
      <c r="B27">
        <v>40</v>
      </c>
      <c r="C27">
        <v>54</v>
      </c>
      <c r="D27">
        <v>130</v>
      </c>
      <c r="E27">
        <v>10</v>
      </c>
      <c r="F27">
        <v>40</v>
      </c>
      <c r="G27">
        <v>3.25</v>
      </c>
      <c r="H27">
        <v>90</v>
      </c>
      <c r="I27">
        <v>1</v>
      </c>
      <c r="J27">
        <v>40</v>
      </c>
      <c r="K27">
        <v>100</v>
      </c>
      <c r="L27">
        <v>0</v>
      </c>
      <c r="M27">
        <v>37</v>
      </c>
      <c r="N27">
        <v>5</v>
      </c>
      <c r="O27">
        <v>19.198250000000002</v>
      </c>
      <c r="P27">
        <v>90</v>
      </c>
      <c r="Q27">
        <v>0</v>
      </c>
      <c r="R27">
        <v>0.61303076923076905</v>
      </c>
      <c r="S27">
        <v>3.3626373626373602E-4</v>
      </c>
      <c r="T27">
        <v>7.69230769230769E-2</v>
      </c>
      <c r="U27">
        <v>1</v>
      </c>
      <c r="V27">
        <v>3</v>
      </c>
      <c r="W27">
        <v>67.396500000000003</v>
      </c>
      <c r="X27">
        <v>90</v>
      </c>
      <c r="Y27">
        <v>0</v>
      </c>
      <c r="Z27">
        <v>0.90702564102564098</v>
      </c>
      <c r="AA27">
        <v>9.6174636174636095E-3</v>
      </c>
      <c r="AB27">
        <v>7.69230769230769E-2</v>
      </c>
      <c r="AC27">
        <v>1</v>
      </c>
      <c r="AD27">
        <v>3</v>
      </c>
      <c r="AE27">
        <v>67.396500000000003</v>
      </c>
      <c r="AF27">
        <v>90</v>
      </c>
      <c r="AG27">
        <v>0</v>
      </c>
      <c r="AH27">
        <v>0.90702564102564098</v>
      </c>
      <c r="AI27">
        <v>9.6174636174636095E-3</v>
      </c>
      <c r="AJ27">
        <v>7.69230769230769E-2</v>
      </c>
      <c r="AK27">
        <v>1</v>
      </c>
      <c r="AL27">
        <v>1</v>
      </c>
      <c r="AM27">
        <v>129.791</v>
      </c>
      <c r="AN27">
        <v>90.08</v>
      </c>
      <c r="AO27">
        <v>0.08</v>
      </c>
      <c r="AP27">
        <v>0.99969230769230699</v>
      </c>
      <c r="AQ27">
        <v>5.3262327416173497E-2</v>
      </c>
      <c r="AR27">
        <v>7.69230769230769E-2</v>
      </c>
      <c r="AS27">
        <v>0.96613357588357496</v>
      </c>
      <c r="AT27">
        <v>0</v>
      </c>
      <c r="AU27">
        <v>130</v>
      </c>
      <c r="AV27">
        <v>120</v>
      </c>
      <c r="AW27">
        <v>30</v>
      </c>
      <c r="AX27">
        <v>0</v>
      </c>
      <c r="AY27">
        <v>7.69230769230769E-2</v>
      </c>
      <c r="AZ27">
        <v>7.69230769230769E-2</v>
      </c>
      <c r="BA27">
        <v>0</v>
      </c>
      <c r="BB27">
        <v>0</v>
      </c>
      <c r="BC27">
        <v>130</v>
      </c>
      <c r="BD27">
        <v>120</v>
      </c>
      <c r="BE27">
        <v>30</v>
      </c>
      <c r="BF27">
        <v>0</v>
      </c>
      <c r="BG27">
        <v>7.69230769230769E-2</v>
      </c>
      <c r="BH27">
        <v>7.69230769230769E-2</v>
      </c>
      <c r="BI27">
        <v>0</v>
      </c>
      <c r="BJ27">
        <v>3</v>
      </c>
      <c r="BK27">
        <v>67.396500000000003</v>
      </c>
      <c r="BL27">
        <v>90</v>
      </c>
      <c r="BM27">
        <v>0</v>
      </c>
      <c r="BN27">
        <v>0.90702564102564098</v>
      </c>
      <c r="BO27">
        <v>9.6174636174636095E-3</v>
      </c>
      <c r="BP27">
        <v>7.69230769230769E-2</v>
      </c>
      <c r="BQ27">
        <v>1</v>
      </c>
    </row>
    <row r="28" spans="1:69" x14ac:dyDescent="0.35">
      <c r="A28" t="s">
        <v>95</v>
      </c>
      <c r="B28">
        <v>236</v>
      </c>
      <c r="C28">
        <v>1860</v>
      </c>
      <c r="D28">
        <v>5172</v>
      </c>
      <c r="E28">
        <v>10</v>
      </c>
      <c r="F28">
        <v>50</v>
      </c>
      <c r="G28">
        <v>3.1307506049999998</v>
      </c>
      <c r="H28">
        <v>3520</v>
      </c>
      <c r="I28">
        <v>7</v>
      </c>
      <c r="J28">
        <v>1652</v>
      </c>
      <c r="K28">
        <v>100</v>
      </c>
      <c r="L28">
        <v>0</v>
      </c>
      <c r="M28">
        <v>40</v>
      </c>
      <c r="N28">
        <v>4</v>
      </c>
      <c r="O28">
        <v>109.233305084745</v>
      </c>
      <c r="P28">
        <v>3520</v>
      </c>
      <c r="Q28">
        <v>0</v>
      </c>
      <c r="R28">
        <v>0.79767836426914096</v>
      </c>
      <c r="S28" s="1">
        <v>7.41030296916507E-5</v>
      </c>
      <c r="T28">
        <v>6.3882443928847593E-2</v>
      </c>
      <c r="U28">
        <v>1</v>
      </c>
      <c r="V28">
        <v>1</v>
      </c>
      <c r="W28">
        <v>1095.7627118644</v>
      </c>
      <c r="X28">
        <v>3520</v>
      </c>
      <c r="Y28">
        <v>0</v>
      </c>
      <c r="Z28">
        <v>1</v>
      </c>
      <c r="AA28">
        <v>4.4778004009028198E-2</v>
      </c>
      <c r="AB28">
        <v>6.3882443928847593E-2</v>
      </c>
      <c r="AC28">
        <v>1</v>
      </c>
      <c r="AD28">
        <v>1</v>
      </c>
      <c r="AE28">
        <v>1095.7627118644</v>
      </c>
      <c r="AF28">
        <v>3520</v>
      </c>
      <c r="AG28">
        <v>0</v>
      </c>
      <c r="AH28">
        <v>1</v>
      </c>
      <c r="AI28">
        <v>4.4778004009028198E-2</v>
      </c>
      <c r="AJ28">
        <v>6.3882443928847593E-2</v>
      </c>
      <c r="AK28">
        <v>1</v>
      </c>
      <c r="AL28">
        <v>1</v>
      </c>
      <c r="AM28">
        <v>1095.7627118644</v>
      </c>
      <c r="AN28">
        <v>3520</v>
      </c>
      <c r="AO28">
        <v>0</v>
      </c>
      <c r="AP28">
        <v>1</v>
      </c>
      <c r="AQ28">
        <v>4.4778004009028198E-2</v>
      </c>
      <c r="AR28">
        <v>6.3882443928847593E-2</v>
      </c>
      <c r="AS28">
        <v>1</v>
      </c>
      <c r="AT28">
        <v>0</v>
      </c>
      <c r="AU28">
        <v>1095.7627118644</v>
      </c>
      <c r="AV28">
        <v>4069.97</v>
      </c>
      <c r="AW28">
        <v>549.97</v>
      </c>
      <c r="AX28">
        <v>0</v>
      </c>
      <c r="AY28">
        <v>6.3882443928847593E-2</v>
      </c>
      <c r="AZ28">
        <v>6.3882443928847593E-2</v>
      </c>
      <c r="BA28">
        <v>0</v>
      </c>
      <c r="BB28">
        <v>0</v>
      </c>
      <c r="BC28">
        <v>1095.7627118644</v>
      </c>
      <c r="BD28">
        <v>4069.97</v>
      </c>
      <c r="BE28">
        <v>549.97</v>
      </c>
      <c r="BF28">
        <v>0</v>
      </c>
      <c r="BG28">
        <v>6.3882443928847593E-2</v>
      </c>
      <c r="BH28">
        <v>6.3882443928847593E-2</v>
      </c>
      <c r="BI28">
        <v>0</v>
      </c>
      <c r="BJ28">
        <v>1</v>
      </c>
      <c r="BK28">
        <v>1095.7627118644</v>
      </c>
      <c r="BL28">
        <v>3520</v>
      </c>
      <c r="BM28">
        <v>0</v>
      </c>
      <c r="BN28">
        <v>1</v>
      </c>
      <c r="BO28">
        <v>4.4778004009028198E-2</v>
      </c>
      <c r="BP28">
        <v>6.3882443928847593E-2</v>
      </c>
      <c r="BQ28">
        <v>1</v>
      </c>
    </row>
    <row r="29" spans="1:69" x14ac:dyDescent="0.35">
      <c r="A29" t="s">
        <v>96</v>
      </c>
      <c r="B29">
        <v>77</v>
      </c>
      <c r="C29">
        <v>102</v>
      </c>
      <c r="D29">
        <v>172</v>
      </c>
      <c r="E29">
        <v>10</v>
      </c>
      <c r="F29">
        <v>50</v>
      </c>
      <c r="G29">
        <v>2.233766234</v>
      </c>
      <c r="H29">
        <v>95</v>
      </c>
      <c r="I29">
        <v>1</v>
      </c>
      <c r="J29">
        <v>77</v>
      </c>
      <c r="K29">
        <v>100</v>
      </c>
      <c r="L29">
        <v>0</v>
      </c>
      <c r="M29">
        <v>40</v>
      </c>
      <c r="N29">
        <v>7</v>
      </c>
      <c r="O29">
        <v>18.961688311688299</v>
      </c>
      <c r="P29">
        <v>95.01</v>
      </c>
      <c r="Q29">
        <v>0.01</v>
      </c>
      <c r="R29">
        <v>0.63612956810631205</v>
      </c>
      <c r="S29">
        <v>5.5435370470524603E-4</v>
      </c>
      <c r="T29">
        <v>8.95348837209302E-2</v>
      </c>
      <c r="U29">
        <v>1</v>
      </c>
      <c r="V29">
        <v>5</v>
      </c>
      <c r="W29">
        <v>42.463376623376597</v>
      </c>
      <c r="X29">
        <v>95</v>
      </c>
      <c r="Y29">
        <v>0</v>
      </c>
      <c r="Z29">
        <v>0.83258139534883702</v>
      </c>
      <c r="AA29">
        <v>6.9741602067183396E-3</v>
      </c>
      <c r="AB29">
        <v>8.95348837209302E-2</v>
      </c>
      <c r="AC29">
        <v>1</v>
      </c>
      <c r="AD29">
        <v>5</v>
      </c>
      <c r="AE29">
        <v>42.463376623376597</v>
      </c>
      <c r="AF29">
        <v>95</v>
      </c>
      <c r="AG29">
        <v>0</v>
      </c>
      <c r="AH29">
        <v>0.83258139534883702</v>
      </c>
      <c r="AI29">
        <v>6.9741602067183396E-3</v>
      </c>
      <c r="AJ29">
        <v>8.95348837209302E-2</v>
      </c>
      <c r="AK29">
        <v>1</v>
      </c>
      <c r="AL29">
        <v>1</v>
      </c>
      <c r="AM29">
        <v>111.688311688311</v>
      </c>
      <c r="AN29">
        <v>97.36</v>
      </c>
      <c r="AO29">
        <v>2.36</v>
      </c>
      <c r="AP29">
        <v>1</v>
      </c>
      <c r="AQ29">
        <v>7.0953962980541005E-2</v>
      </c>
      <c r="AR29">
        <v>8.95348837209302E-2</v>
      </c>
      <c r="AS29">
        <v>0.92498298325100403</v>
      </c>
      <c r="AT29">
        <v>0</v>
      </c>
      <c r="AU29">
        <v>111.688311688311</v>
      </c>
      <c r="AV29">
        <v>135.75</v>
      </c>
      <c r="AW29">
        <v>40.75</v>
      </c>
      <c r="AX29">
        <v>0</v>
      </c>
      <c r="AY29">
        <v>8.95348837209302E-2</v>
      </c>
      <c r="AZ29">
        <v>8.95348837209302E-2</v>
      </c>
      <c r="BA29">
        <v>0</v>
      </c>
      <c r="BB29">
        <v>0</v>
      </c>
      <c r="BC29">
        <v>111.688311688311</v>
      </c>
      <c r="BD29">
        <v>135.75</v>
      </c>
      <c r="BE29">
        <v>40.75</v>
      </c>
      <c r="BF29">
        <v>0</v>
      </c>
      <c r="BG29">
        <v>8.95348837209302E-2</v>
      </c>
      <c r="BH29">
        <v>8.95348837209302E-2</v>
      </c>
      <c r="BI29">
        <v>0</v>
      </c>
      <c r="BJ29">
        <v>4</v>
      </c>
      <c r="BK29">
        <v>71.101298701298703</v>
      </c>
      <c r="BL29">
        <v>95.01</v>
      </c>
      <c r="BM29">
        <v>0.01</v>
      </c>
      <c r="BN29">
        <v>0.92058139534883698</v>
      </c>
      <c r="BO29">
        <v>1.7269969666329599E-2</v>
      </c>
      <c r="BP29">
        <v>8.95348837209302E-2</v>
      </c>
      <c r="BQ29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C1888-F38B-46BD-A10D-7E717EF53724}">
  <dimension ref="A1:G29"/>
  <sheetViews>
    <sheetView tabSelected="1" workbookViewId="0">
      <selection activeCell="C2" sqref="C2"/>
    </sheetView>
  </sheetViews>
  <sheetFormatPr defaultRowHeight="14.5" x14ac:dyDescent="0.35"/>
  <cols>
    <col min="5" max="5" width="10.36328125" bestFit="1" customWidth="1"/>
  </cols>
  <sheetData>
    <row r="1" spans="1:7" x14ac:dyDescent="0.35">
      <c r="A1" t="str">
        <f>heatmap_results_nrmp!A1</f>
        <v>result_file_prefix</v>
      </c>
      <c r="B1" t="str">
        <f>heatmap_results_nrmp!J1</f>
        <v>simulated_positions</v>
      </c>
      <c r="C1" t="str">
        <f>heatmap_results_nrmp!Q1</f>
        <v>unfilled_spots_best_rpp</v>
      </c>
      <c r="D1" t="str">
        <f>heatmap_results_nrmp!N1</f>
        <v>best_signal_rpp</v>
      </c>
      <c r="E1" t="str">
        <f>heatmap_results_nrmp!O1</f>
        <v>reviews_per_program_best_rpp</v>
      </c>
      <c r="F1" t="str">
        <f>heatmap_results_nrmp!R1</f>
        <v>pct_interview_given_signal_best_rpp</v>
      </c>
      <c r="G1" t="str">
        <f>heatmap_results_nrmp!U1</f>
        <v>pct_of_app_match_via_signal_given_matched_best_rpp</v>
      </c>
    </row>
    <row r="2" spans="1:7" x14ac:dyDescent="0.35">
      <c r="A2" t="str">
        <f>heatmap_results_nrmp!A2</f>
        <v>Anesthesiology</v>
      </c>
      <c r="B2">
        <f>heatmap_results_nrmp!J2</f>
        <v>1701</v>
      </c>
      <c r="C2">
        <f>heatmap_results_nrmp!Q2</f>
        <v>0</v>
      </c>
      <c r="D2">
        <f>heatmap_results_nrmp!N2</f>
        <v>7</v>
      </c>
      <c r="E2" s="3">
        <f>heatmap_results_nrmp!O2</f>
        <v>119.730952380952</v>
      </c>
      <c r="F2" s="2">
        <f>heatmap_results_nrmp!R2</f>
        <v>0.80505090203134599</v>
      </c>
      <c r="G2" s="2">
        <f>heatmap_results_nrmp!U2</f>
        <v>1</v>
      </c>
    </row>
    <row r="3" spans="1:7" x14ac:dyDescent="0.35">
      <c r="A3" t="str">
        <f>heatmap_results_nrmp!A3</f>
        <v>Child Neurology</v>
      </c>
      <c r="B3">
        <f>heatmap_results_nrmp!J3</f>
        <v>156</v>
      </c>
      <c r="C3">
        <f>heatmap_results_nrmp!Q3</f>
        <v>0.02</v>
      </c>
      <c r="D3">
        <f>heatmap_results_nrmp!N3</f>
        <v>8</v>
      </c>
      <c r="E3" s="3">
        <f>heatmap_results_nrmp!O3</f>
        <v>32.6055128205128</v>
      </c>
      <c r="F3" s="2">
        <f>heatmap_results_nrmp!R3</f>
        <v>0.68048076923076894</v>
      </c>
      <c r="G3" s="2">
        <f>heatmap_results_nrmp!U3</f>
        <v>1</v>
      </c>
    </row>
    <row r="4" spans="1:7" x14ac:dyDescent="0.35">
      <c r="A4" t="str">
        <f>heatmap_results_nrmp!A4</f>
        <v>Dermatology</v>
      </c>
      <c r="B4">
        <f>heatmap_results_nrmp!J4</f>
        <v>28</v>
      </c>
      <c r="C4">
        <f>heatmap_results_nrmp!Q4</f>
        <v>0</v>
      </c>
      <c r="D4">
        <f>heatmap_results_nrmp!N4</f>
        <v>2</v>
      </c>
      <c r="E4" s="3">
        <f>heatmap_results_nrmp!O4</f>
        <v>42.714285714285602</v>
      </c>
      <c r="F4" s="2">
        <f>heatmap_results_nrmp!R4</f>
        <v>0.46822742474916301</v>
      </c>
      <c r="G4" s="2">
        <f>heatmap_results_nrmp!U4</f>
        <v>1</v>
      </c>
    </row>
    <row r="5" spans="1:7" x14ac:dyDescent="0.35">
      <c r="A5" t="str">
        <f>heatmap_results_nrmp!A5</f>
        <v>Emergency Medicine</v>
      </c>
      <c r="B5">
        <f>heatmap_results_nrmp!J5</f>
        <v>2920</v>
      </c>
      <c r="C5">
        <f>heatmap_results_nrmp!Q5</f>
        <v>0.76</v>
      </c>
      <c r="D5">
        <f>heatmap_results_nrmp!N5</f>
        <v>10</v>
      </c>
      <c r="E5" s="3">
        <f>heatmap_results_nrmp!O5</f>
        <v>129.82904109589001</v>
      </c>
      <c r="F5" s="2">
        <f>heatmap_results_nrmp!R5</f>
        <v>0.77798374633626399</v>
      </c>
      <c r="G5" s="2">
        <f>heatmap_results_nrmp!U5</f>
        <v>1</v>
      </c>
    </row>
    <row r="6" spans="1:7" x14ac:dyDescent="0.35">
      <c r="A6" t="str">
        <f>heatmap_results_nrmp!A6</f>
        <v>Family Medicine</v>
      </c>
      <c r="B6">
        <f>heatmap_results_nrmp!J6</f>
        <v>4902</v>
      </c>
      <c r="C6">
        <f>heatmap_results_nrmp!Q6</f>
        <v>0.41</v>
      </c>
      <c r="D6">
        <f>heatmap_results_nrmp!N6</f>
        <v>9</v>
      </c>
      <c r="E6" s="3">
        <f>heatmap_results_nrmp!O6</f>
        <v>83.072386780905703</v>
      </c>
      <c r="F6" s="2">
        <f>heatmap_results_nrmp!R6</f>
        <v>0.74213211576030103</v>
      </c>
      <c r="G6" s="2">
        <f>heatmap_results_nrmp!U6</f>
        <v>1</v>
      </c>
    </row>
    <row r="7" spans="1:7" x14ac:dyDescent="0.35">
      <c r="A7" t="str">
        <f>heatmap_results_nrmp!A7</f>
        <v>Internal Medicine (Categorical)</v>
      </c>
      <c r="B7">
        <f>heatmap_results_nrmp!J7</f>
        <v>10612</v>
      </c>
      <c r="C7">
        <f>heatmap_results_nrmp!Q7</f>
        <v>0</v>
      </c>
      <c r="D7">
        <f>heatmap_results_nrmp!N7</f>
        <v>8</v>
      </c>
      <c r="E7" s="3">
        <f>heatmap_results_nrmp!O7</f>
        <v>181.66998680738701</v>
      </c>
      <c r="F7" s="2">
        <f>heatmap_results_nrmp!R7</f>
        <v>0.774309147160119</v>
      </c>
      <c r="G7" s="2">
        <f>heatmap_results_nrmp!U7</f>
        <v>1</v>
      </c>
    </row>
    <row r="8" spans="1:7" x14ac:dyDescent="0.35">
      <c r="A8" t="str">
        <f>heatmap_results_nrmp!A8</f>
        <v>Medicine-Emergency Med</v>
      </c>
      <c r="B8">
        <f>heatmap_results_nrmp!J8</f>
        <v>26</v>
      </c>
      <c r="C8">
        <f>heatmap_results_nrmp!Q8</f>
        <v>0</v>
      </c>
      <c r="D8">
        <f>heatmap_results_nrmp!N8</f>
        <v>3</v>
      </c>
      <c r="E8" s="3">
        <f>heatmap_results_nrmp!O8</f>
        <v>32.375384615384597</v>
      </c>
      <c r="F8" s="2">
        <f>heatmap_results_nrmp!R8</f>
        <v>0.78248484848484801</v>
      </c>
      <c r="G8" s="2">
        <f>heatmap_results_nrmp!U8</f>
        <v>1</v>
      </c>
    </row>
    <row r="9" spans="1:7" x14ac:dyDescent="0.35">
      <c r="A9" t="str">
        <f>heatmap_results_nrmp!A9</f>
        <v>Medicine-Pediatrics</v>
      </c>
      <c r="B9">
        <f>heatmap_results_nrmp!J9</f>
        <v>395</v>
      </c>
      <c r="C9">
        <f>heatmap_results_nrmp!Q9</f>
        <v>0</v>
      </c>
      <c r="D9">
        <f>heatmap_results_nrmp!N9</f>
        <v>9</v>
      </c>
      <c r="E9" s="3">
        <f>heatmap_results_nrmp!O9</f>
        <v>69.632278481012605</v>
      </c>
      <c r="F9" s="2">
        <f>heatmap_results_nrmp!R9</f>
        <v>0.73260063068076398</v>
      </c>
      <c r="G9" s="2">
        <f>heatmap_results_nrmp!U9</f>
        <v>1</v>
      </c>
    </row>
    <row r="10" spans="1:7" x14ac:dyDescent="0.35">
      <c r="A10" t="str">
        <f>heatmap_results_nrmp!A10</f>
        <v>Medicine-Preliminary (PGY-1 Only)</v>
      </c>
      <c r="B10">
        <f>heatmap_results_nrmp!J10</f>
        <v>1316</v>
      </c>
      <c r="C10">
        <f>heatmap_results_nrmp!Q10</f>
        <v>0</v>
      </c>
      <c r="D10">
        <f>heatmap_results_nrmp!N10</f>
        <v>3</v>
      </c>
      <c r="E10" s="3">
        <f>heatmap_results_nrmp!O10</f>
        <v>67.963525835866193</v>
      </c>
      <c r="F10" s="2">
        <f>heatmap_results_nrmp!R10</f>
        <v>0.73464062150681797</v>
      </c>
      <c r="G10" s="2">
        <f>heatmap_results_nrmp!U10</f>
        <v>1</v>
      </c>
    </row>
    <row r="11" spans="1:7" x14ac:dyDescent="0.35">
      <c r="A11" t="str">
        <f>heatmap_results_nrmp!A11</f>
        <v>Medicine-Primary</v>
      </c>
      <c r="B11">
        <f>heatmap_results_nrmp!J11</f>
        <v>364</v>
      </c>
      <c r="C11">
        <f>heatmap_results_nrmp!Q11</f>
        <v>0</v>
      </c>
      <c r="D11">
        <f>heatmap_results_nrmp!N11</f>
        <v>3</v>
      </c>
      <c r="E11" s="3">
        <f>heatmap_results_nrmp!O11</f>
        <v>70.351648351648294</v>
      </c>
      <c r="F11" s="2">
        <f>heatmap_results_nrmp!R11</f>
        <v>0.56857232114963996</v>
      </c>
      <c r="G11" s="2">
        <f>heatmap_results_nrmp!U11</f>
        <v>1</v>
      </c>
    </row>
    <row r="12" spans="1:7" x14ac:dyDescent="0.35">
      <c r="A12" t="str">
        <f>heatmap_results_nrmp!A12</f>
        <v>Interventional Radiology (Integrated)</v>
      </c>
      <c r="B12">
        <f>heatmap_results_nrmp!J12</f>
        <v>27</v>
      </c>
      <c r="C12">
        <f>heatmap_results_nrmp!Q12</f>
        <v>0</v>
      </c>
      <c r="D12">
        <f>heatmap_results_nrmp!N12</f>
        <v>2</v>
      </c>
      <c r="E12" s="3">
        <f>heatmap_results_nrmp!O12</f>
        <v>22.148148148148099</v>
      </c>
      <c r="F12" s="2">
        <f>heatmap_results_nrmp!R12</f>
        <v>0.451505016722408</v>
      </c>
      <c r="G12" s="2">
        <f>heatmap_results_nrmp!U12</f>
        <v>1</v>
      </c>
    </row>
    <row r="13" spans="1:7" x14ac:dyDescent="0.35">
      <c r="A13" t="str">
        <f>heatmap_results_nrmp!A13</f>
        <v>Neurological Surgery</v>
      </c>
      <c r="B13">
        <f>heatmap_results_nrmp!J13</f>
        <v>242</v>
      </c>
      <c r="C13">
        <f>heatmap_results_nrmp!Q13</f>
        <v>0.09</v>
      </c>
      <c r="D13">
        <f>heatmap_results_nrmp!N13</f>
        <v>8</v>
      </c>
      <c r="E13" s="3">
        <f>heatmap_results_nrmp!O13</f>
        <v>32.798347107437998</v>
      </c>
      <c r="F13" s="2">
        <f>heatmap_results_nrmp!R13</f>
        <v>0.63502363445378096</v>
      </c>
      <c r="G13" s="2">
        <f>heatmap_results_nrmp!U13</f>
        <v>1</v>
      </c>
    </row>
    <row r="14" spans="1:7" x14ac:dyDescent="0.35">
      <c r="A14" t="str">
        <f>heatmap_results_nrmp!A14</f>
        <v>Neurology</v>
      </c>
      <c r="B14">
        <f>heatmap_results_nrmp!J14</f>
        <v>795</v>
      </c>
      <c r="C14">
        <f>heatmap_results_nrmp!Q14</f>
        <v>0</v>
      </c>
      <c r="D14">
        <f>heatmap_results_nrmp!N14</f>
        <v>6</v>
      </c>
      <c r="E14" s="3">
        <f>heatmap_results_nrmp!O14</f>
        <v>71.893836477987406</v>
      </c>
      <c r="F14" s="2">
        <f>heatmap_results_nrmp!R14</f>
        <v>0.74560998498498399</v>
      </c>
      <c r="G14" s="2">
        <f>heatmap_results_nrmp!U14</f>
        <v>1</v>
      </c>
    </row>
    <row r="15" spans="1:7" x14ac:dyDescent="0.35">
      <c r="A15" t="str">
        <f>heatmap_results_nrmp!A15</f>
        <v>Obstetrics-Gynecology</v>
      </c>
      <c r="B15">
        <f>heatmap_results_nrmp!J15</f>
        <v>1475</v>
      </c>
      <c r="C15">
        <f>heatmap_results_nrmp!Q15</f>
        <v>0.21</v>
      </c>
      <c r="D15">
        <f>heatmap_results_nrmp!N15</f>
        <v>9</v>
      </c>
      <c r="E15" s="3">
        <f>heatmap_results_nrmp!O15</f>
        <v>70.280101694915203</v>
      </c>
      <c r="F15" s="2">
        <f>heatmap_results_nrmp!R15</f>
        <v>0.76119944211994395</v>
      </c>
      <c r="G15" s="2">
        <f>heatmap_results_nrmp!U15</f>
        <v>1</v>
      </c>
    </row>
    <row r="16" spans="1:7" x14ac:dyDescent="0.35">
      <c r="A16" t="str">
        <f>heatmap_results_nrmp!A16</f>
        <v>Orthopaedic Surgery</v>
      </c>
      <c r="B16">
        <f>heatmap_results_nrmp!J16</f>
        <v>864</v>
      </c>
      <c r="C16">
        <f>heatmap_results_nrmp!Q16</f>
        <v>0</v>
      </c>
      <c r="D16">
        <f>heatmap_results_nrmp!N16</f>
        <v>8</v>
      </c>
      <c r="E16" s="3">
        <f>heatmap_results_nrmp!O16</f>
        <v>59.612175925925897</v>
      </c>
      <c r="F16" s="2">
        <f>heatmap_results_nrmp!R16</f>
        <v>0.67915959119496805</v>
      </c>
      <c r="G16" s="2">
        <f>heatmap_results_nrmp!U16</f>
        <v>1</v>
      </c>
    </row>
    <row r="17" spans="1:7" x14ac:dyDescent="0.35">
      <c r="A17" t="str">
        <f>heatmap_results_nrmp!A17</f>
        <v>Otolaryngology</v>
      </c>
      <c r="B17">
        <f>heatmap_results_nrmp!J17</f>
        <v>278</v>
      </c>
      <c r="C17">
        <f>heatmap_results_nrmp!Q17</f>
        <v>0.02</v>
      </c>
      <c r="D17">
        <f>heatmap_results_nrmp!N17</f>
        <v>8</v>
      </c>
      <c r="E17" s="3">
        <f>heatmap_results_nrmp!O17</f>
        <v>33.0738129496402</v>
      </c>
      <c r="F17" s="2">
        <f>heatmap_results_nrmp!R17</f>
        <v>0.62903985507246296</v>
      </c>
      <c r="G17" s="2">
        <f>heatmap_results_nrmp!U17</f>
        <v>1</v>
      </c>
    </row>
    <row r="18" spans="1:7" x14ac:dyDescent="0.35">
      <c r="A18" t="str">
        <f>heatmap_results_nrmp!A18</f>
        <v>Pathology</v>
      </c>
      <c r="B18">
        <f>heatmap_results_nrmp!J18</f>
        <v>525</v>
      </c>
      <c r="C18">
        <f>heatmap_results_nrmp!Q18</f>
        <v>0.03</v>
      </c>
      <c r="D18">
        <f>heatmap_results_nrmp!N18</f>
        <v>8</v>
      </c>
      <c r="E18" s="3">
        <f>heatmap_results_nrmp!O18</f>
        <v>47.248857142857098</v>
      </c>
      <c r="F18" s="2">
        <f>heatmap_results_nrmp!R18</f>
        <v>0.64450761296660097</v>
      </c>
      <c r="G18" s="2">
        <f>heatmap_results_nrmp!U18</f>
        <v>1</v>
      </c>
    </row>
    <row r="19" spans="1:7" x14ac:dyDescent="0.35">
      <c r="A19" t="str">
        <f>heatmap_results_nrmp!A19</f>
        <v>Pediatrics (Categorical)</v>
      </c>
      <c r="B19">
        <f>heatmap_results_nrmp!J19</f>
        <v>3000</v>
      </c>
      <c r="C19">
        <f>heatmap_results_nrmp!Q19</f>
        <v>0</v>
      </c>
      <c r="D19">
        <f>heatmap_results_nrmp!N19</f>
        <v>9</v>
      </c>
      <c r="E19" s="3">
        <f>heatmap_results_nrmp!O19</f>
        <v>154.37783999999999</v>
      </c>
      <c r="F19" s="2">
        <f>heatmap_results_nrmp!R19</f>
        <v>0.83323995330998801</v>
      </c>
      <c r="G19" s="2">
        <f>heatmap_results_nrmp!U19</f>
        <v>1</v>
      </c>
    </row>
    <row r="20" spans="1:7" x14ac:dyDescent="0.35">
      <c r="A20" t="str">
        <f>heatmap_results_nrmp!A20</f>
        <v>Pediatrics-Primary</v>
      </c>
      <c r="B20">
        <f>heatmap_results_nrmp!J20</f>
        <v>48</v>
      </c>
      <c r="C20">
        <f>heatmap_results_nrmp!Q20</f>
        <v>0</v>
      </c>
      <c r="D20">
        <f>heatmap_results_nrmp!N20</f>
        <v>1</v>
      </c>
      <c r="E20" s="3">
        <f>heatmap_results_nrmp!O20</f>
        <v>66.991666666666603</v>
      </c>
      <c r="F20" s="2">
        <f>heatmap_results_nrmp!R20</f>
        <v>0.79710482529118099</v>
      </c>
      <c r="G20" s="2">
        <f>heatmap_results_nrmp!U20</f>
        <v>1</v>
      </c>
    </row>
    <row r="21" spans="1:7" x14ac:dyDescent="0.35">
      <c r="A21" t="str">
        <f>heatmap_results_nrmp!A21</f>
        <v>Physical Medicine &amp; Rehab</v>
      </c>
      <c r="B21">
        <f>heatmap_results_nrmp!J21</f>
        <v>220</v>
      </c>
      <c r="C21">
        <f>heatmap_results_nrmp!Q21</f>
        <v>0</v>
      </c>
      <c r="D21">
        <f>heatmap_results_nrmp!N21</f>
        <v>4</v>
      </c>
      <c r="E21" s="3">
        <f>heatmap_results_nrmp!O21</f>
        <v>60.704727272727197</v>
      </c>
      <c r="F21" s="2">
        <f>heatmap_results_nrmp!R21</f>
        <v>0.70308823529411701</v>
      </c>
      <c r="G21" s="2">
        <f>heatmap_results_nrmp!U21</f>
        <v>1</v>
      </c>
    </row>
    <row r="22" spans="1:7" x14ac:dyDescent="0.35">
      <c r="A22" t="str">
        <f>heatmap_results_nrmp!A22</f>
        <v>Plastic Surgery (Integrated)</v>
      </c>
      <c r="B22">
        <f>heatmap_results_nrmp!J22</f>
        <v>182</v>
      </c>
      <c r="C22">
        <f>heatmap_results_nrmp!Q22</f>
        <v>0</v>
      </c>
      <c r="D22">
        <f>heatmap_results_nrmp!N22</f>
        <v>7</v>
      </c>
      <c r="E22" s="3">
        <f>heatmap_results_nrmp!O22</f>
        <v>32.635604395604297</v>
      </c>
      <c r="F22" s="2">
        <f>heatmap_results_nrmp!R22</f>
        <v>0.655804473304473</v>
      </c>
      <c r="G22" s="2">
        <f>heatmap_results_nrmp!U22</f>
        <v>1</v>
      </c>
    </row>
    <row r="23" spans="1:7" x14ac:dyDescent="0.35">
      <c r="A23" t="str">
        <f>heatmap_results_nrmp!A23</f>
        <v>Psychiatry</v>
      </c>
      <c r="B23">
        <f>heatmap_results_nrmp!J23</f>
        <v>2020</v>
      </c>
      <c r="C23">
        <f>heatmap_results_nrmp!Q23</f>
        <v>0.02</v>
      </c>
      <c r="D23">
        <f>heatmap_results_nrmp!N23</f>
        <v>8</v>
      </c>
      <c r="E23" s="3">
        <f>heatmap_results_nrmp!O23</f>
        <v>72.417153465346502</v>
      </c>
      <c r="F23" s="2">
        <f>heatmap_results_nrmp!R23</f>
        <v>0.76924191580231804</v>
      </c>
      <c r="G23" s="2">
        <f>heatmap_results_nrmp!U23</f>
        <v>1</v>
      </c>
    </row>
    <row r="24" spans="1:7" x14ac:dyDescent="0.35">
      <c r="A24" t="str">
        <f>heatmap_results_nrmp!A24</f>
        <v>Radiology-Diagnostic</v>
      </c>
      <c r="B24">
        <f>heatmap_results_nrmp!J24</f>
        <v>140</v>
      </c>
      <c r="C24">
        <f>heatmap_results_nrmp!Q24</f>
        <v>0</v>
      </c>
      <c r="D24">
        <f>heatmap_results_nrmp!N24</f>
        <v>2</v>
      </c>
      <c r="E24" s="3">
        <f>heatmap_results_nrmp!O24</f>
        <v>63.314285714285603</v>
      </c>
      <c r="F24" s="2">
        <f>heatmap_results_nrmp!R24</f>
        <v>0.63176895306859204</v>
      </c>
      <c r="G24" s="2">
        <f>heatmap_results_nrmp!U24</f>
        <v>1</v>
      </c>
    </row>
    <row r="25" spans="1:7" x14ac:dyDescent="0.35">
      <c r="A25" t="str">
        <f>heatmap_results_nrmp!A25</f>
        <v>Surgery (Categorical)</v>
      </c>
      <c r="B25">
        <f>heatmap_results_nrmp!J25</f>
        <v>1508</v>
      </c>
      <c r="C25">
        <f>heatmap_results_nrmp!Q25</f>
        <v>0.02</v>
      </c>
      <c r="D25">
        <f>heatmap_results_nrmp!N25</f>
        <v>7</v>
      </c>
      <c r="E25" s="3">
        <f>heatmap_results_nrmp!O25</f>
        <v>61.842599469495902</v>
      </c>
      <c r="F25" s="2">
        <f>heatmap_results_nrmp!R25</f>
        <v>0.65177566457747904</v>
      </c>
      <c r="G25" s="2">
        <f>heatmap_results_nrmp!U25</f>
        <v>1</v>
      </c>
    </row>
    <row r="26" spans="1:7" x14ac:dyDescent="0.35">
      <c r="A26" t="str">
        <f>heatmap_results_nrmp!A26</f>
        <v>Surgery-Preliminary (PGY-1 Only)</v>
      </c>
      <c r="B26">
        <f>heatmap_results_nrmp!J26</f>
        <v>1044</v>
      </c>
      <c r="C26">
        <f>heatmap_results_nrmp!Q26</f>
        <v>0</v>
      </c>
      <c r="D26">
        <f>heatmap_results_nrmp!N26</f>
        <v>7</v>
      </c>
      <c r="E26" s="3">
        <f>heatmap_results_nrmp!O26</f>
        <v>60.637049808429097</v>
      </c>
      <c r="F26" s="2">
        <f>heatmap_results_nrmp!R26</f>
        <v>0.66901108761135597</v>
      </c>
      <c r="G26" s="2">
        <f>heatmap_results_nrmp!U26</f>
        <v>1</v>
      </c>
    </row>
    <row r="27" spans="1:7" x14ac:dyDescent="0.35">
      <c r="A27" t="str">
        <f>heatmap_results_nrmp!A27</f>
        <v>Thoracic Surgery</v>
      </c>
      <c r="B27">
        <f>heatmap_results_nrmp!J27</f>
        <v>40</v>
      </c>
      <c r="C27">
        <f>heatmap_results_nrmp!Q27</f>
        <v>0</v>
      </c>
      <c r="D27">
        <f>heatmap_results_nrmp!N27</f>
        <v>5</v>
      </c>
      <c r="E27" s="3">
        <f>heatmap_results_nrmp!O27</f>
        <v>19.198250000000002</v>
      </c>
      <c r="F27" s="2">
        <f>heatmap_results_nrmp!R27</f>
        <v>0.61303076923076905</v>
      </c>
      <c r="G27" s="2">
        <f>heatmap_results_nrmp!U27</f>
        <v>1</v>
      </c>
    </row>
    <row r="28" spans="1:7" x14ac:dyDescent="0.35">
      <c r="A28" t="str">
        <f>heatmap_results_nrmp!A28</f>
        <v>Transitional (PGY-1 Only)</v>
      </c>
      <c r="B28">
        <f>heatmap_results_nrmp!J28</f>
        <v>1652</v>
      </c>
      <c r="C28">
        <f>heatmap_results_nrmp!Q28</f>
        <v>0</v>
      </c>
      <c r="D28">
        <f>heatmap_results_nrmp!N28</f>
        <v>4</v>
      </c>
      <c r="E28" s="3">
        <f>heatmap_results_nrmp!O28</f>
        <v>109.233305084745</v>
      </c>
      <c r="F28" s="2">
        <f>heatmap_results_nrmp!R28</f>
        <v>0.79767836426914096</v>
      </c>
      <c r="G28" s="2">
        <f>heatmap_results_nrmp!U28</f>
        <v>1</v>
      </c>
    </row>
    <row r="29" spans="1:7" x14ac:dyDescent="0.35">
      <c r="A29" t="str">
        <f>heatmap_results_nrmp!A29</f>
        <v>Vascular Surgery</v>
      </c>
      <c r="B29">
        <f>heatmap_results_nrmp!J29</f>
        <v>77</v>
      </c>
      <c r="C29">
        <f>heatmap_results_nrmp!Q29</f>
        <v>0.01</v>
      </c>
      <c r="D29">
        <f>heatmap_results_nrmp!N29</f>
        <v>7</v>
      </c>
      <c r="E29" s="3">
        <f>heatmap_results_nrmp!O29</f>
        <v>18.961688311688299</v>
      </c>
      <c r="F29" s="2">
        <f>heatmap_results_nrmp!R29</f>
        <v>0.63612956810631205</v>
      </c>
      <c r="G29" s="2">
        <f>heatmap_results_nrmp!U29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heatmap_results_nrmp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Ayman Ali</cp:lastModifiedBy>
  <dcterms:created xsi:type="dcterms:W3CDTF">2025-12-18T00:53:34Z</dcterms:created>
  <dcterms:modified xsi:type="dcterms:W3CDTF">2025-12-21T14:10:33Z</dcterms:modified>
</cp:coreProperties>
</file>