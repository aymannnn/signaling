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My Drive\research\active.projects\signaling_project\code\constants\"/>
    </mc:Choice>
  </mc:AlternateContent>
  <xr:revisionPtr revIDLastSave="0" documentId="13_ncr:1_{E793051D-4AE8-4726-B256-D443961ABA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RMP" sheetId="1" r:id="rId1"/>
    <sheet name="columns_constants" sheetId="3" r:id="rId2"/>
  </sheets>
  <definedNames>
    <definedName name="ExternalData_1" localSheetId="1" hidden="1">'columns_constants'!$A$1:$M$2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" i="3"/>
  <c r="J11" i="3"/>
  <c r="J12" i="3"/>
  <c r="J14" i="3"/>
  <c r="J15" i="3"/>
  <c r="J23" i="3"/>
  <c r="J24" i="3"/>
  <c r="J27" i="3"/>
  <c r="F4" i="3"/>
  <c r="J4" i="3" s="1"/>
  <c r="F5" i="3"/>
  <c r="J5" i="3" s="1"/>
  <c r="F6" i="3"/>
  <c r="J6" i="3" s="1"/>
  <c r="F7" i="3"/>
  <c r="J7" i="3" s="1"/>
  <c r="F8" i="3"/>
  <c r="J8" i="3" s="1"/>
  <c r="F9" i="3"/>
  <c r="J9" i="3" s="1"/>
  <c r="F10" i="3"/>
  <c r="J10" i="3" s="1"/>
  <c r="F11" i="3"/>
  <c r="F12" i="3"/>
  <c r="F13" i="3"/>
  <c r="J13" i="3" s="1"/>
  <c r="F14" i="3"/>
  <c r="F15" i="3"/>
  <c r="F16" i="3"/>
  <c r="J16" i="3" s="1"/>
  <c r="F17" i="3"/>
  <c r="J17" i="3" s="1"/>
  <c r="F18" i="3"/>
  <c r="J18" i="3" s="1"/>
  <c r="F19" i="3"/>
  <c r="J19" i="3" s="1"/>
  <c r="F20" i="3"/>
  <c r="J20" i="3" s="1"/>
  <c r="F21" i="3"/>
  <c r="J21" i="3" s="1"/>
  <c r="F22" i="3"/>
  <c r="J22" i="3" s="1"/>
  <c r="F23" i="3"/>
  <c r="F24" i="3"/>
  <c r="F25" i="3"/>
  <c r="J25" i="3" s="1"/>
  <c r="F26" i="3"/>
  <c r="J26" i="3" s="1"/>
  <c r="F27" i="3"/>
  <c r="F28" i="3"/>
  <c r="J28" i="3" s="1"/>
  <c r="F29" i="3"/>
  <c r="J29" i="3" s="1"/>
  <c r="F30" i="3"/>
  <c r="J30" i="3" s="1"/>
  <c r="F31" i="3"/>
  <c r="J31" i="3" s="1"/>
  <c r="F3" i="3"/>
  <c r="J3" i="3" s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0EA3B4-17EE-4688-A563-EE414E056F01}" keepAlive="1" name="Query - columns_constants" description="Connection to the 'columns_constants' query in the workbook." type="5" refreshedVersion="8" background="1" saveData="1">
    <dbPr connection="Provider=Microsoft.Mashup.OleDb.1;Data Source=$Workbook$;Location=columns_constants;Extended Properties=&quot;&quot;" command="SELECT * FROM [columns_constants]"/>
  </connection>
</connections>
</file>

<file path=xl/sharedStrings.xml><?xml version="1.0" encoding="utf-8"?>
<sst xmlns="http://schemas.openxmlformats.org/spreadsheetml/2006/main" count="132" uniqueCount="100">
  <si>
    <t>Specialty</t>
  </si>
  <si>
    <t>No. of Programs</t>
  </si>
  <si>
    <t>No. of Positions</t>
  </si>
  <si>
    <t>No. of Applicants*</t>
  </si>
  <si>
    <t>No. of Matches*</t>
  </si>
  <si>
    <t>%</t>
  </si>
  <si>
    <t>Filled</t>
  </si>
  <si>
    <t>Offered</t>
  </si>
  <si>
    <t>Unfilled</t>
  </si>
  <si>
    <t>U.S. MD</t>
  </si>
  <si>
    <t>Total</t>
  </si>
  <si>
    <t>PGY-1 Positions</t>
  </si>
  <si>
    <t>Anesthesiology</t>
  </si>
  <si>
    <t>Child Neurology</t>
  </si>
  <si>
    <t>Dermatology</t>
  </si>
  <si>
    <t>Emergency Medicine</t>
  </si>
  <si>
    <t>Family Medicine</t>
  </si>
  <si>
    <t>Internal Medicine (Categorical)</t>
  </si>
  <si>
    <t>Medicine-Emergency Med</t>
  </si>
  <si>
    <t>Medicine-Pediatrics</t>
  </si>
  <si>
    <t>Medicine-Preliminary (PGY-1 Only)</t>
  </si>
  <si>
    <t>Medicine-Primary</t>
  </si>
  <si>
    <t>Interventional Radiology</t>
  </si>
  <si>
    <t>(Integrated)</t>
  </si>
  <si>
    <t>Neurological Surgery</t>
  </si>
  <si>
    <t>Neurology</t>
  </si>
  <si>
    <t>Obstetrics-Gynecology</t>
  </si>
  <si>
    <t>Orthopaedic Surgery</t>
  </si>
  <si>
    <t>Otolaryngology</t>
  </si>
  <si>
    <t>Pathology</t>
  </si>
  <si>
    <t>Pediatrics (Categorical)</t>
  </si>
  <si>
    <t>Pediatrics-Primary</t>
  </si>
  <si>
    <t>Physical Medicine &amp; Rehab</t>
  </si>
  <si>
    <t>Plastic Surgery (Integrated)</t>
  </si>
  <si>
    <t>Psychiatry</t>
  </si>
  <si>
    <t>Radiology-Diagnostic</t>
  </si>
  <si>
    <t>Surgery (Categorical)</t>
  </si>
  <si>
    <t>Surgery-Preliminary (PGY-1 Only)</t>
  </si>
  <si>
    <t>Thoracic Surgery</t>
  </si>
  <si>
    <t>Transitional (PGY-1 Only)</t>
  </si>
  <si>
    <t>Vascular Surgery</t>
  </si>
  <si>
    <t>Total PGY-1</t>
  </si>
  <si>
    <t>Table 1C - Match Summary</t>
  </si>
  <si>
    <t>Grads</t>
  </si>
  <si>
    <t>U.S. MD Total Grads</t>
  </si>
  <si>
    <t>2.7 99.9</t>
  </si>
  <si>
    <t>1.0 94.9</t>
  </si>
  <si>
    <t>0.0 100.0</t>
  </si>
  <si>
    <t>2.1 97.9</t>
  </si>
  <si>
    <t>1.7 85.0</t>
  </si>
  <si>
    <t>1.4 96.7</t>
  </si>
  <si>
    <t>2.9 100.0</t>
  </si>
  <si>
    <t>1.0 99.2</t>
  </si>
  <si>
    <t>1.1 90.9</t>
  </si>
  <si>
    <t>2.7 97.3</t>
  </si>
  <si>
    <t>1.9 100.0</t>
  </si>
  <si>
    <t>5.2 98.9</t>
  </si>
  <si>
    <t>0.8 99.2</t>
  </si>
  <si>
    <t>3.2 99.9</t>
  </si>
  <si>
    <t>4.6 100.0</t>
  </si>
  <si>
    <t>2.5 99.7</t>
  </si>
  <si>
    <t>3.2 99.5</t>
  </si>
  <si>
    <t>0.7 95.3</t>
  </si>
  <si>
    <t>0.0 94.8</t>
  </si>
  <si>
    <t>1.7 100.0</t>
  </si>
  <si>
    <t>7.2 100.0</t>
  </si>
  <si>
    <t>1.7 99.7</t>
  </si>
  <si>
    <t>4.0 97.4</t>
  </si>
  <si>
    <t>8.3 99.8</t>
  </si>
  <si>
    <t>0.9 56.4</t>
  </si>
  <si>
    <t>1.0 86.9</t>
  </si>
  <si>
    <t>3.9 100.0</t>
  </si>
  <si>
    <t>2.0 94.1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</si>
  <si>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</si>
  <si>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</si>
  <si>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</si>
  <si>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</si>
  <si>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</si>
  <si>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</si>
  <si>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</si>
  <si>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</si>
  <si>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</si>
  <si>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</si>
  <si>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</si>
  <si>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</si>
  <si>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n_programs</t>
  </si>
  <si>
    <t>n_positions</t>
  </si>
  <si>
    <t>n_applicants</t>
  </si>
  <si>
    <t>interviews_per_spot</t>
  </si>
  <si>
    <t>max_applications</t>
  </si>
  <si>
    <t>spots_per_program</t>
  </si>
  <si>
    <t>simulations_per_s</t>
  </si>
  <si>
    <t>study_min_signal</t>
  </si>
  <si>
    <t>applicants_per_position</t>
  </si>
  <si>
    <t>minimum_unmatched</t>
  </si>
  <si>
    <t>study_max_signal</t>
  </si>
  <si>
    <t>result_file_prefix</t>
  </si>
  <si>
    <t>Interventional Radiology (Integrated)</t>
  </si>
  <si>
    <t>Column62</t>
  </si>
  <si>
    <t>simulated_positions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</si>
</sst>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sz val="12"/>
      <color theme="1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2" fillId="0" borderId="0" xfId="0" applyFont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5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right" vertical="center" wrapText="1"/>
    </xf>
    <xf numFmtId="3" fontId="0" fillId="0" borderId="0" xfId="0" applyNumberFormat="1"/>
    <xf numFmtId="3" fontId="4" fillId="0" borderId="0" xfId="0" applyNumberFormat="1" applyFont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6" fillId="2" borderId="5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3" fontId="6" fillId="2" borderId="0" xfId="0" applyNumberFormat="1" applyFont="1" applyFill="1" applyAlignment="1">
      <alignment horizontal="right" vertical="center" wrapText="1"/>
    </xf>
    <xf numFmtId="3" fontId="6" fillId="2" borderId="2" xfId="0" applyNumberFormat="1" applyFont="1" applyFill="1" applyBorder="1" applyAlignment="1">
      <alignment horizontal="righ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3" fontId="5" fillId="0" borderId="5" xfId="0" applyNumberFormat="1" applyFont="1" applyBorder="1" applyAlignment="1">
      <alignment horizontal="right" vertical="center" wrapText="1"/>
    </xf>
    <xf numFmtId="3" fontId="5" fillId="0" borderId="0" xfId="0" applyNumberFormat="1" applyFont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2" fillId="0" borderId="9" xfId="0" applyFont="1" applyBorder="1" applyAlignment="1">
      <alignment horizontal="left" vertical="center" wrapText="1" indent="1"/>
    </xf>
    <xf numFmtId="0" fontId="1" fillId="0" borderId="24" xfId="0" applyFont="1" applyBorder="1" applyAlignment="1">
      <alignment vertical="center" wrapText="1"/>
    </xf>
    <xf numFmtId="3" fontId="1" fillId="0" borderId="25" xfId="0" applyNumberFormat="1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3" fontId="1" fillId="0" borderId="27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21" xfId="0" applyFont="1" applyBorder="1" applyAlignment="1">
      <alignment horizontal="left" vertical="center" wrapText="1" indent="1"/>
    </xf>
    <xf numFmtId="0" fontId="2" fillId="0" borderId="22" xfId="0" applyFont="1" applyBorder="1" applyAlignment="1">
      <alignment horizontal="left" vertical="center" wrapText="1" indent="1"/>
    </xf>
    <xf numFmtId="0" fontId="6" fillId="2" borderId="23" xfId="0" applyFont="1" applyFill="1" applyBorder="1" applyAlignment="1">
      <alignment horizontal="right" vertical="center" wrapText="1"/>
    </xf>
    <xf numFmtId="0" fontId="6" fillId="2" borderId="18" xfId="0" applyFont="1" applyFill="1" applyBorder="1" applyAlignment="1">
      <alignment horizontal="right" vertical="center" wrapText="1"/>
    </xf>
    <xf numFmtId="0" fontId="6" fillId="2" borderId="5" xfId="0" applyFont="1" applyFill="1" applyBorder="1" applyAlignment="1">
      <alignment horizontal="right" vertical="center" wrapText="1"/>
    </xf>
    <xf numFmtId="0" fontId="6" fillId="2" borderId="15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 indent="3"/>
    </xf>
    <xf numFmtId="0" fontId="2" fillId="0" borderId="8" xfId="0" applyFont="1" applyBorder="1" applyAlignment="1">
      <alignment horizontal="left" vertical="center" wrapText="1" indent="3"/>
    </xf>
    <xf numFmtId="0" fontId="2" fillId="0" borderId="15" xfId="0" applyFont="1" applyBorder="1" applyAlignment="1">
      <alignment horizontal="left" vertical="center" wrapText="1" indent="3"/>
    </xf>
    <xf numFmtId="0" fontId="2" fillId="0" borderId="2" xfId="0" applyFont="1" applyBorder="1" applyAlignment="1">
      <alignment horizontal="left" vertical="center" wrapText="1" indent="3"/>
    </xf>
    <xf numFmtId="0" fontId="2" fillId="0" borderId="16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2" fillId="0" borderId="17" xfId="0" applyFont="1" applyBorder="1" applyAlignment="1">
      <alignment horizontal="left" vertical="center" wrapText="1" indent="3"/>
    </xf>
    <xf numFmtId="0" fontId="2" fillId="0" borderId="4" xfId="0" applyFont="1" applyBorder="1" applyAlignment="1">
      <alignment horizontal="left" vertical="center" wrapText="1" indent="3"/>
    </xf>
    <xf numFmtId="0" fontId="2" fillId="0" borderId="18" xfId="0" applyFont="1" applyBorder="1" applyAlignment="1">
      <alignment horizontal="left" vertical="center" wrapText="1" indent="3"/>
    </xf>
    <xf numFmtId="0" fontId="2" fillId="0" borderId="5" xfId="0" applyFont="1" applyBorder="1" applyAlignment="1">
      <alignment horizontal="left" vertical="center" wrapText="1" indent="3"/>
    </xf>
    <xf numFmtId="0" fontId="2" fillId="0" borderId="19" xfId="0" applyFont="1" applyBorder="1" applyAlignment="1">
      <alignment horizontal="left" vertical="center" wrapText="1" indent="3"/>
    </xf>
    <xf numFmtId="0" fontId="2" fillId="0" borderId="10" xfId="0" applyFont="1" applyBorder="1" applyAlignment="1">
      <alignment horizontal="left" vertical="center" wrapText="1" indent="3"/>
    </xf>
    <xf numFmtId="0" fontId="2" fillId="0" borderId="20" xfId="0" applyFont="1" applyBorder="1" applyAlignment="1">
      <alignment horizontal="right" vertical="center" wrapText="1"/>
    </xf>
    <xf numFmtId="0" fontId="2" fillId="0" borderId="16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 indent="1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DEE05C-551D-4530-AEA1-9B837C1475D5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3" dataBound="0" tableColumnId="13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3AD54-CACE-4630-AC6C-992869E51458}" name="columns_constants" displayName="columns_constants" ref="A1:M2" tableType="queryTable" totalsRowShown="0">
  <autoFilter ref="A1:M2" xr:uid="{C503AD54-CACE-4630-AC6C-992869E51458}"/>
  <tableColumns count="13">
    <tableColumn id="1" xr3:uid="{20553B3B-D965-4F48-A5AB-A8C5FA34D9CB}" uniqueName="1" name="Column1" queryTableFieldId="1" dataDxfId="11"/>
    <tableColumn id="2" xr3:uid="{44A5F4E7-EA4E-44B3-8ED9-F9F8E72C08F8}" uniqueName="2" name="Column2" queryTableFieldId="2" dataDxfId="10"/>
    <tableColumn id="3" xr3:uid="{5D6572E6-CDE4-43A6-9C8E-936B6160F0A0}" uniqueName="3" name="Column3" queryTableFieldId="3" dataDxfId="9"/>
    <tableColumn id="4" xr3:uid="{FE80E249-CCE1-44F4-8A9D-28547BC129B9}" uniqueName="4" name="Column4" queryTableFieldId="4" dataDxfId="8"/>
    <tableColumn id="5" xr3:uid="{F3AA81DD-F648-4A52-8F50-292E95B96845}" uniqueName="5" name="Column5" queryTableFieldId="5" dataDxfId="7"/>
    <tableColumn id="6" xr3:uid="{53000603-D549-4F3E-A3EF-4B43D42199E4}" uniqueName="6" name="Column6" queryTableFieldId="6" dataDxfId="6"/>
    <tableColumn id="13" xr3:uid="{7D2D7C86-A44D-46FE-ACD4-9F42394B9FBA}" uniqueName="13" name="Column62" queryTableFieldId="13"/>
    <tableColumn id="7" xr3:uid="{E2F7FFBC-76BF-45C1-8D2E-E75CAFD03A42}" uniqueName="7" name="Column7" queryTableFieldId="7" dataDxfId="5"/>
    <tableColumn id="8" xr3:uid="{D7B4ABE6-D96E-4BFD-A0F2-664000F374A2}" uniqueName="8" name="Column8" queryTableFieldId="8" dataDxfId="4"/>
    <tableColumn id="9" xr3:uid="{3DF5C03F-633E-45D7-AE86-4DD42B2D17F0}" uniqueName="9" name="Column9" queryTableFieldId="9" dataDxfId="3"/>
    <tableColumn id="10" xr3:uid="{5ED6310B-CEC8-441C-A300-DDCA525C7399}" uniqueName="10" name="Column10" queryTableFieldId="10" dataDxfId="2"/>
    <tableColumn id="11" xr3:uid="{A9DEA950-BC8F-4D4C-8443-68DE49275D2E}" uniqueName="11" name="Column11" queryTableFieldId="11" dataDxfId="1"/>
    <tableColumn id="12" xr3:uid="{3657870A-CCA8-4B3B-B41B-D3E9EEAF6AE2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A19" sqref="A19"/>
    </sheetView>
  </sheetViews>
  <sheetFormatPr defaultRowHeight="15" x14ac:dyDescent="0.25"/>
  <cols>
    <col min="1" max="1" width="36.42578125" bestFit="1" customWidth="1"/>
  </cols>
  <sheetData>
    <row r="1" spans="1:10" ht="15.75" thickBot="1" x14ac:dyDescent="0.3">
      <c r="A1" t="s">
        <v>42</v>
      </c>
    </row>
    <row r="2" spans="1:10" ht="15.75" thickTop="1" x14ac:dyDescent="0.25">
      <c r="A2" s="2"/>
      <c r="B2" s="50" t="s">
        <v>1</v>
      </c>
      <c r="C2" s="53" t="s">
        <v>2</v>
      </c>
      <c r="D2" s="54"/>
      <c r="E2" s="59" t="s">
        <v>3</v>
      </c>
      <c r="F2" s="60"/>
      <c r="G2" s="53" t="s">
        <v>4</v>
      </c>
      <c r="H2" s="54"/>
      <c r="I2" s="6" t="s">
        <v>5</v>
      </c>
    </row>
    <row r="3" spans="1:10" x14ac:dyDescent="0.25">
      <c r="A3" s="3"/>
      <c r="B3" s="51"/>
      <c r="C3" s="55"/>
      <c r="D3" s="56"/>
      <c r="E3" s="61"/>
      <c r="F3" s="62"/>
      <c r="G3" s="55"/>
      <c r="H3" s="56"/>
      <c r="I3" s="5" t="s">
        <v>6</v>
      </c>
    </row>
    <row r="4" spans="1:10" ht="15.75" thickBot="1" x14ac:dyDescent="0.3">
      <c r="A4" s="3"/>
      <c r="B4" s="51"/>
      <c r="C4" s="57"/>
      <c r="D4" s="58"/>
      <c r="E4" s="63"/>
      <c r="F4" s="64"/>
      <c r="G4" s="57"/>
      <c r="H4" s="58"/>
      <c r="I4" s="7"/>
    </row>
    <row r="5" spans="1:10" ht="19.5" customHeight="1" thickTop="1" x14ac:dyDescent="0.25">
      <c r="A5" s="3" t="s">
        <v>0</v>
      </c>
      <c r="B5" s="51"/>
      <c r="C5" s="65" t="s">
        <v>7</v>
      </c>
      <c r="D5" s="67" t="s">
        <v>8</v>
      </c>
      <c r="E5" s="8" t="s">
        <v>9</v>
      </c>
      <c r="F5" s="69" t="s">
        <v>10</v>
      </c>
      <c r="G5" s="1" t="s">
        <v>9</v>
      </c>
      <c r="H5" s="41" t="s">
        <v>10</v>
      </c>
      <c r="I5" s="43" t="s">
        <v>44</v>
      </c>
    </row>
    <row r="6" spans="1:10" ht="15.75" thickBot="1" x14ac:dyDescent="0.3">
      <c r="A6" s="4"/>
      <c r="B6" s="52"/>
      <c r="C6" s="66"/>
      <c r="D6" s="68"/>
      <c r="E6" s="34" t="s">
        <v>43</v>
      </c>
      <c r="F6" s="42"/>
      <c r="G6" s="34" t="s">
        <v>43</v>
      </c>
      <c r="H6" s="42"/>
      <c r="I6" s="44"/>
    </row>
    <row r="7" spans="1:10" x14ac:dyDescent="0.25">
      <c r="A7" s="9" t="s">
        <v>11</v>
      </c>
      <c r="B7" s="13"/>
      <c r="C7" s="11"/>
      <c r="D7" s="13"/>
      <c r="E7" s="11"/>
      <c r="F7" s="17"/>
      <c r="G7" s="11"/>
      <c r="H7" s="17"/>
      <c r="I7" s="11"/>
    </row>
    <row r="8" spans="1:10" x14ac:dyDescent="0.25">
      <c r="A8" s="10" t="s">
        <v>12</v>
      </c>
      <c r="B8" s="14">
        <v>189</v>
      </c>
      <c r="C8" s="16">
        <v>1805</v>
      </c>
      <c r="D8" s="14">
        <v>1</v>
      </c>
      <c r="E8" s="12">
        <v>261</v>
      </c>
      <c r="F8" s="18">
        <v>3017</v>
      </c>
      <c r="G8" s="12">
        <v>49</v>
      </c>
      <c r="H8" s="18">
        <v>1804</v>
      </c>
      <c r="I8" s="12" t="s">
        <v>45</v>
      </c>
      <c r="J8" s="15">
        <f>F8-H8</f>
        <v>1213</v>
      </c>
    </row>
    <row r="9" spans="1:10" x14ac:dyDescent="0.25">
      <c r="A9" s="19" t="s">
        <v>13</v>
      </c>
      <c r="B9" s="20">
        <v>78</v>
      </c>
      <c r="C9" s="21">
        <v>195</v>
      </c>
      <c r="D9" s="22">
        <v>10</v>
      </c>
      <c r="E9" s="21">
        <v>6</v>
      </c>
      <c r="F9" s="20">
        <v>286</v>
      </c>
      <c r="G9" s="21">
        <v>2</v>
      </c>
      <c r="H9" s="20">
        <v>185</v>
      </c>
      <c r="I9" s="21" t="s">
        <v>46</v>
      </c>
      <c r="J9" s="15">
        <f t="shared" ref="J9:J36" si="0">F9-H9</f>
        <v>101</v>
      </c>
    </row>
    <row r="10" spans="1:10" x14ac:dyDescent="0.25">
      <c r="A10" s="10" t="s">
        <v>14</v>
      </c>
      <c r="B10" s="23">
        <v>14</v>
      </c>
      <c r="C10" s="12">
        <v>30</v>
      </c>
      <c r="D10" s="14">
        <v>0</v>
      </c>
      <c r="E10" s="12">
        <v>8</v>
      </c>
      <c r="F10" s="23">
        <v>299</v>
      </c>
      <c r="G10" s="12">
        <v>0</v>
      </c>
      <c r="H10" s="23">
        <v>30</v>
      </c>
      <c r="I10" s="12" t="s">
        <v>47</v>
      </c>
      <c r="J10" s="15">
        <f t="shared" si="0"/>
        <v>269</v>
      </c>
    </row>
    <row r="11" spans="1:10" x14ac:dyDescent="0.25">
      <c r="A11" s="19" t="s">
        <v>15</v>
      </c>
      <c r="B11" s="20">
        <v>292</v>
      </c>
      <c r="C11" s="24">
        <v>3068</v>
      </c>
      <c r="D11" s="22">
        <v>65</v>
      </c>
      <c r="E11" s="21">
        <v>113</v>
      </c>
      <c r="F11" s="25">
        <v>3753</v>
      </c>
      <c r="G11" s="21">
        <v>65</v>
      </c>
      <c r="H11" s="25">
        <v>3003</v>
      </c>
      <c r="I11" s="21" t="s">
        <v>48</v>
      </c>
      <c r="J11" s="15">
        <f t="shared" si="0"/>
        <v>750</v>
      </c>
    </row>
    <row r="12" spans="1:10" x14ac:dyDescent="0.25">
      <c r="A12" s="10" t="s">
        <v>16</v>
      </c>
      <c r="B12" s="23">
        <v>817</v>
      </c>
      <c r="C12" s="16">
        <v>5357</v>
      </c>
      <c r="D12" s="14">
        <v>805</v>
      </c>
      <c r="E12" s="12">
        <v>174</v>
      </c>
      <c r="F12" s="18">
        <v>7337</v>
      </c>
      <c r="G12" s="12">
        <v>90</v>
      </c>
      <c r="H12" s="18">
        <v>4552</v>
      </c>
      <c r="I12" s="12" t="s">
        <v>49</v>
      </c>
      <c r="J12" s="15">
        <f t="shared" si="0"/>
        <v>2785</v>
      </c>
    </row>
    <row r="13" spans="1:10" x14ac:dyDescent="0.25">
      <c r="A13" s="10" t="s">
        <v>17</v>
      </c>
      <c r="B13" s="23">
        <v>758</v>
      </c>
      <c r="C13" s="16">
        <v>10941</v>
      </c>
      <c r="D13" s="14">
        <v>357</v>
      </c>
      <c r="E13" s="12">
        <v>340</v>
      </c>
      <c r="F13" s="18">
        <v>17131</v>
      </c>
      <c r="G13" s="12">
        <v>148</v>
      </c>
      <c r="H13" s="18">
        <v>10584</v>
      </c>
      <c r="I13" s="12" t="s">
        <v>50</v>
      </c>
      <c r="J13" s="15">
        <f t="shared" si="0"/>
        <v>6547</v>
      </c>
    </row>
    <row r="14" spans="1:10" x14ac:dyDescent="0.25">
      <c r="A14" s="10" t="s">
        <v>18</v>
      </c>
      <c r="B14" s="23">
        <v>13</v>
      </c>
      <c r="C14" s="12">
        <v>34</v>
      </c>
      <c r="D14" s="14">
        <v>0</v>
      </c>
      <c r="E14" s="12">
        <v>2</v>
      </c>
      <c r="F14" s="23">
        <v>110</v>
      </c>
      <c r="G14" s="12">
        <v>1</v>
      </c>
      <c r="H14" s="23">
        <v>34</v>
      </c>
      <c r="I14" s="12" t="s">
        <v>51</v>
      </c>
      <c r="J14" s="15">
        <f t="shared" si="0"/>
        <v>76</v>
      </c>
    </row>
    <row r="15" spans="1:10" x14ac:dyDescent="0.25">
      <c r="A15" s="10" t="s">
        <v>19</v>
      </c>
      <c r="B15" s="23">
        <v>79</v>
      </c>
      <c r="C15" s="12">
        <v>398</v>
      </c>
      <c r="D15" s="14">
        <v>3</v>
      </c>
      <c r="E15" s="12">
        <v>4</v>
      </c>
      <c r="F15" s="23">
        <v>599</v>
      </c>
      <c r="G15" s="12">
        <v>4</v>
      </c>
      <c r="H15" s="23">
        <v>395</v>
      </c>
      <c r="I15" s="12" t="s">
        <v>52</v>
      </c>
      <c r="J15" s="15">
        <f t="shared" si="0"/>
        <v>204</v>
      </c>
    </row>
    <row r="16" spans="1:10" x14ac:dyDescent="0.25">
      <c r="A16" s="19" t="s">
        <v>20</v>
      </c>
      <c r="B16" s="20">
        <v>329</v>
      </c>
      <c r="C16" s="24">
        <v>1600</v>
      </c>
      <c r="D16" s="22">
        <v>145</v>
      </c>
      <c r="E16" s="21">
        <v>101</v>
      </c>
      <c r="F16" s="25">
        <v>5964</v>
      </c>
      <c r="G16" s="21">
        <v>18</v>
      </c>
      <c r="H16" s="25">
        <v>1455</v>
      </c>
      <c r="I16" s="21" t="s">
        <v>53</v>
      </c>
      <c r="J16" s="15">
        <f t="shared" si="0"/>
        <v>4509</v>
      </c>
    </row>
    <row r="17" spans="1:10" x14ac:dyDescent="0.25">
      <c r="A17" s="19" t="s">
        <v>21</v>
      </c>
      <c r="B17" s="20">
        <v>91</v>
      </c>
      <c r="C17" s="21">
        <v>411</v>
      </c>
      <c r="D17" s="22">
        <v>11</v>
      </c>
      <c r="E17" s="21">
        <v>48</v>
      </c>
      <c r="F17" s="25">
        <v>2134</v>
      </c>
      <c r="G17" s="21">
        <v>11</v>
      </c>
      <c r="H17" s="20">
        <v>400</v>
      </c>
      <c r="I17" s="21" t="s">
        <v>54</v>
      </c>
      <c r="J17" s="15">
        <f t="shared" si="0"/>
        <v>1734</v>
      </c>
    </row>
    <row r="18" spans="1:10" x14ac:dyDescent="0.25">
      <c r="A18" s="19" t="s">
        <v>22</v>
      </c>
      <c r="B18" s="45">
        <v>27</v>
      </c>
      <c r="C18" s="46">
        <v>52</v>
      </c>
      <c r="D18" s="47">
        <v>0</v>
      </c>
      <c r="E18" s="48">
        <v>15</v>
      </c>
      <c r="F18" s="49">
        <v>299</v>
      </c>
      <c r="G18" s="46">
        <v>1</v>
      </c>
      <c r="H18" s="49">
        <v>52</v>
      </c>
      <c r="I18" s="46" t="s">
        <v>55</v>
      </c>
      <c r="J18" s="15">
        <f t="shared" si="0"/>
        <v>247</v>
      </c>
    </row>
    <row r="19" spans="1:10" x14ac:dyDescent="0.25">
      <c r="A19" s="19" t="s">
        <v>23</v>
      </c>
      <c r="B19" s="45"/>
      <c r="C19" s="46"/>
      <c r="D19" s="47"/>
      <c r="E19" s="48"/>
      <c r="F19" s="49"/>
      <c r="G19" s="46"/>
      <c r="H19" s="49"/>
      <c r="I19" s="46"/>
      <c r="J19" s="15">
        <f t="shared" si="0"/>
        <v>0</v>
      </c>
    </row>
    <row r="20" spans="1:10" x14ac:dyDescent="0.25">
      <c r="A20" s="19" t="s">
        <v>24</v>
      </c>
      <c r="B20" s="20">
        <v>121</v>
      </c>
      <c r="C20" s="21">
        <v>268</v>
      </c>
      <c r="D20" s="22">
        <v>3</v>
      </c>
      <c r="E20" s="21">
        <v>52</v>
      </c>
      <c r="F20" s="20">
        <v>476</v>
      </c>
      <c r="G20" s="21">
        <v>14</v>
      </c>
      <c r="H20" s="20">
        <v>265</v>
      </c>
      <c r="I20" s="21" t="s">
        <v>56</v>
      </c>
      <c r="J20" s="15">
        <f t="shared" si="0"/>
        <v>211</v>
      </c>
    </row>
    <row r="21" spans="1:10" x14ac:dyDescent="0.25">
      <c r="A21" s="10" t="s">
        <v>25</v>
      </c>
      <c r="B21" s="23">
        <v>159</v>
      </c>
      <c r="C21" s="12">
        <v>932</v>
      </c>
      <c r="D21" s="14">
        <v>7</v>
      </c>
      <c r="E21" s="12">
        <v>30</v>
      </c>
      <c r="F21" s="18">
        <v>1776</v>
      </c>
      <c r="G21" s="12">
        <v>7</v>
      </c>
      <c r="H21" s="23">
        <v>925</v>
      </c>
      <c r="I21" s="12" t="s">
        <v>57</v>
      </c>
      <c r="J21" s="15">
        <f t="shared" si="0"/>
        <v>851</v>
      </c>
    </row>
    <row r="22" spans="1:10" x14ac:dyDescent="0.25">
      <c r="A22" s="19" t="s">
        <v>26</v>
      </c>
      <c r="B22" s="20">
        <v>295</v>
      </c>
      <c r="C22" s="24">
        <v>1587</v>
      </c>
      <c r="D22" s="22">
        <v>1</v>
      </c>
      <c r="E22" s="21">
        <v>79</v>
      </c>
      <c r="F22" s="25">
        <v>2151</v>
      </c>
      <c r="G22" s="21">
        <v>50</v>
      </c>
      <c r="H22" s="25">
        <v>1586</v>
      </c>
      <c r="I22" s="21" t="s">
        <v>58</v>
      </c>
      <c r="J22" s="15">
        <f t="shared" si="0"/>
        <v>565</v>
      </c>
    </row>
    <row r="23" spans="1:10" x14ac:dyDescent="0.25">
      <c r="A23" s="19" t="s">
        <v>27</v>
      </c>
      <c r="B23" s="20">
        <v>216</v>
      </c>
      <c r="C23" s="21">
        <v>929</v>
      </c>
      <c r="D23" s="22">
        <v>0</v>
      </c>
      <c r="E23" s="21">
        <v>141</v>
      </c>
      <c r="F23" s="25">
        <v>1590</v>
      </c>
      <c r="G23" s="21">
        <v>43</v>
      </c>
      <c r="H23" s="20">
        <v>929</v>
      </c>
      <c r="I23" s="21" t="s">
        <v>59</v>
      </c>
      <c r="J23" s="15">
        <f t="shared" si="0"/>
        <v>661</v>
      </c>
    </row>
    <row r="24" spans="1:10" x14ac:dyDescent="0.25">
      <c r="A24" s="19" t="s">
        <v>28</v>
      </c>
      <c r="B24" s="20">
        <v>139</v>
      </c>
      <c r="C24" s="21">
        <v>394</v>
      </c>
      <c r="D24" s="22">
        <v>1</v>
      </c>
      <c r="E24" s="21">
        <v>29</v>
      </c>
      <c r="F24" s="20">
        <v>552</v>
      </c>
      <c r="G24" s="21">
        <v>10</v>
      </c>
      <c r="H24" s="20">
        <v>393</v>
      </c>
      <c r="I24" s="21" t="s">
        <v>60</v>
      </c>
      <c r="J24" s="15">
        <f t="shared" si="0"/>
        <v>159</v>
      </c>
    </row>
    <row r="25" spans="1:10" x14ac:dyDescent="0.25">
      <c r="A25" s="10" t="s">
        <v>29</v>
      </c>
      <c r="B25" s="23">
        <v>175</v>
      </c>
      <c r="C25" s="12">
        <v>622</v>
      </c>
      <c r="D25" s="14">
        <v>3</v>
      </c>
      <c r="E25" s="12">
        <v>36</v>
      </c>
      <c r="F25" s="18">
        <v>1018</v>
      </c>
      <c r="G25" s="12">
        <v>20</v>
      </c>
      <c r="H25" s="23">
        <v>619</v>
      </c>
      <c r="I25" s="12" t="s">
        <v>61</v>
      </c>
      <c r="J25" s="15">
        <f t="shared" si="0"/>
        <v>399</v>
      </c>
    </row>
    <row r="26" spans="1:10" x14ac:dyDescent="0.25">
      <c r="A26" s="19" t="s">
        <v>30</v>
      </c>
      <c r="B26" s="20">
        <v>250</v>
      </c>
      <c r="C26" s="24">
        <v>3135</v>
      </c>
      <c r="D26" s="22">
        <v>147</v>
      </c>
      <c r="E26" s="21">
        <v>41</v>
      </c>
      <c r="F26" s="25">
        <v>3998</v>
      </c>
      <c r="G26" s="21">
        <v>23</v>
      </c>
      <c r="H26" s="25">
        <v>2988</v>
      </c>
      <c r="I26" s="21" t="s">
        <v>62</v>
      </c>
      <c r="J26" s="15">
        <f t="shared" si="0"/>
        <v>1010</v>
      </c>
    </row>
    <row r="27" spans="1:10" x14ac:dyDescent="0.25">
      <c r="A27" s="19" t="s">
        <v>31</v>
      </c>
      <c r="B27" s="20">
        <v>12</v>
      </c>
      <c r="C27" s="21">
        <v>58</v>
      </c>
      <c r="D27" s="22">
        <v>3</v>
      </c>
      <c r="E27" s="21">
        <v>5</v>
      </c>
      <c r="F27" s="20">
        <v>601</v>
      </c>
      <c r="G27" s="21">
        <v>0</v>
      </c>
      <c r="H27" s="20">
        <v>55</v>
      </c>
      <c r="I27" s="21" t="s">
        <v>63</v>
      </c>
      <c r="J27" s="15">
        <f t="shared" si="0"/>
        <v>546</v>
      </c>
    </row>
    <row r="28" spans="1:10" x14ac:dyDescent="0.25">
      <c r="A28" s="19" t="s">
        <v>32</v>
      </c>
      <c r="B28" s="20">
        <v>55</v>
      </c>
      <c r="C28" s="21">
        <v>240</v>
      </c>
      <c r="D28" s="22">
        <v>0</v>
      </c>
      <c r="E28" s="21">
        <v>28</v>
      </c>
      <c r="F28" s="20">
        <v>782</v>
      </c>
      <c r="G28" s="21">
        <v>4</v>
      </c>
      <c r="H28" s="20">
        <v>240</v>
      </c>
      <c r="I28" s="21" t="s">
        <v>64</v>
      </c>
      <c r="J28" s="15">
        <f t="shared" si="0"/>
        <v>542</v>
      </c>
    </row>
    <row r="29" spans="1:10" x14ac:dyDescent="0.25">
      <c r="A29" s="10" t="s">
        <v>33</v>
      </c>
      <c r="B29" s="23">
        <v>91</v>
      </c>
      <c r="C29" s="12">
        <v>221</v>
      </c>
      <c r="D29" s="14">
        <v>0</v>
      </c>
      <c r="E29" s="12">
        <v>38</v>
      </c>
      <c r="F29" s="23">
        <v>396</v>
      </c>
      <c r="G29" s="12">
        <v>16</v>
      </c>
      <c r="H29" s="23">
        <v>221</v>
      </c>
      <c r="I29" s="12" t="s">
        <v>65</v>
      </c>
      <c r="J29" s="15">
        <f t="shared" si="0"/>
        <v>175</v>
      </c>
    </row>
    <row r="30" spans="1:10" x14ac:dyDescent="0.25">
      <c r="A30" s="19" t="s">
        <v>34</v>
      </c>
      <c r="B30" s="20">
        <v>404</v>
      </c>
      <c r="C30" s="24">
        <v>2388</v>
      </c>
      <c r="D30" s="22">
        <v>8</v>
      </c>
      <c r="E30" s="21">
        <v>87</v>
      </c>
      <c r="F30" s="25">
        <v>3278</v>
      </c>
      <c r="G30" s="21">
        <v>40</v>
      </c>
      <c r="H30" s="25">
        <v>2380</v>
      </c>
      <c r="I30" s="21" t="s">
        <v>66</v>
      </c>
      <c r="J30" s="15">
        <f t="shared" si="0"/>
        <v>898</v>
      </c>
    </row>
    <row r="31" spans="1:10" x14ac:dyDescent="0.25">
      <c r="A31" s="19" t="s">
        <v>35</v>
      </c>
      <c r="B31" s="20">
        <v>35</v>
      </c>
      <c r="C31" s="21">
        <v>151</v>
      </c>
      <c r="D31" s="22">
        <v>4</v>
      </c>
      <c r="E31" s="21">
        <v>51</v>
      </c>
      <c r="F31" s="25">
        <v>1108</v>
      </c>
      <c r="G31" s="21">
        <v>6</v>
      </c>
      <c r="H31" s="20">
        <v>147</v>
      </c>
      <c r="I31" s="21" t="s">
        <v>67</v>
      </c>
      <c r="J31" s="15">
        <f t="shared" si="0"/>
        <v>961</v>
      </c>
    </row>
    <row r="32" spans="1:10" x14ac:dyDescent="0.25">
      <c r="A32" s="10" t="s">
        <v>36</v>
      </c>
      <c r="B32" s="23">
        <v>377</v>
      </c>
      <c r="C32" s="16">
        <v>1778</v>
      </c>
      <c r="D32" s="14">
        <v>4</v>
      </c>
      <c r="E32" s="12">
        <v>381</v>
      </c>
      <c r="F32" s="18">
        <v>3305</v>
      </c>
      <c r="G32" s="12">
        <v>147</v>
      </c>
      <c r="H32" s="18">
        <v>1774</v>
      </c>
      <c r="I32" s="12" t="s">
        <v>68</v>
      </c>
      <c r="J32" s="15">
        <f t="shared" si="0"/>
        <v>1531</v>
      </c>
    </row>
    <row r="33" spans="1:10" x14ac:dyDescent="0.25">
      <c r="A33" s="19" t="s">
        <v>37</v>
      </c>
      <c r="B33" s="20">
        <v>261</v>
      </c>
      <c r="C33" s="24">
        <v>1194</v>
      </c>
      <c r="D33" s="22">
        <v>521</v>
      </c>
      <c r="E33" s="21">
        <v>75</v>
      </c>
      <c r="F33" s="25">
        <v>2229</v>
      </c>
      <c r="G33" s="21">
        <v>11</v>
      </c>
      <c r="H33" s="20">
        <v>673</v>
      </c>
      <c r="I33" s="21" t="s">
        <v>69</v>
      </c>
      <c r="J33" s="15">
        <f t="shared" si="0"/>
        <v>1556</v>
      </c>
    </row>
    <row r="34" spans="1:10" x14ac:dyDescent="0.25">
      <c r="A34" s="10" t="s">
        <v>38</v>
      </c>
      <c r="B34" s="23">
        <v>40</v>
      </c>
      <c r="C34" s="12">
        <v>54</v>
      </c>
      <c r="D34" s="14">
        <v>0</v>
      </c>
      <c r="E34" s="12">
        <v>7</v>
      </c>
      <c r="F34" s="23">
        <v>130</v>
      </c>
      <c r="G34" s="12">
        <v>0</v>
      </c>
      <c r="H34" s="23">
        <v>54</v>
      </c>
      <c r="I34" s="12" t="s">
        <v>47</v>
      </c>
      <c r="J34" s="15">
        <f t="shared" si="0"/>
        <v>76</v>
      </c>
    </row>
    <row r="35" spans="1:10" x14ac:dyDescent="0.25">
      <c r="A35" s="19" t="s">
        <v>39</v>
      </c>
      <c r="B35" s="20">
        <v>236</v>
      </c>
      <c r="C35" s="24">
        <v>1860</v>
      </c>
      <c r="D35" s="22">
        <v>243</v>
      </c>
      <c r="E35" s="21">
        <v>70</v>
      </c>
      <c r="F35" s="25">
        <v>5172</v>
      </c>
      <c r="G35" s="21">
        <v>18</v>
      </c>
      <c r="H35" s="25">
        <v>1617</v>
      </c>
      <c r="I35" s="21" t="s">
        <v>70</v>
      </c>
      <c r="J35" s="15">
        <f t="shared" si="0"/>
        <v>3555</v>
      </c>
    </row>
    <row r="36" spans="1:10" ht="15.75" thickBot="1" x14ac:dyDescent="0.3">
      <c r="A36" s="26" t="s">
        <v>40</v>
      </c>
      <c r="B36" s="27">
        <v>77</v>
      </c>
      <c r="C36" s="28">
        <v>102</v>
      </c>
      <c r="D36" s="29">
        <v>0</v>
      </c>
      <c r="E36" s="28">
        <v>12</v>
      </c>
      <c r="F36" s="27">
        <v>172</v>
      </c>
      <c r="G36" s="28">
        <v>4</v>
      </c>
      <c r="H36" s="27">
        <v>102</v>
      </c>
      <c r="I36" s="28" t="s">
        <v>71</v>
      </c>
      <c r="J36" s="15">
        <f t="shared" si="0"/>
        <v>70</v>
      </c>
    </row>
    <row r="37" spans="1:10" x14ac:dyDescent="0.25">
      <c r="A37" s="13" t="s">
        <v>41</v>
      </c>
      <c r="B37" s="30">
        <v>5773</v>
      </c>
      <c r="C37" s="31">
        <v>40041</v>
      </c>
      <c r="D37" s="32">
        <v>2374</v>
      </c>
      <c r="E37" s="31">
        <v>2261</v>
      </c>
      <c r="F37" s="30">
        <v>70885</v>
      </c>
      <c r="G37" s="33">
        <v>803</v>
      </c>
      <c r="H37" s="30">
        <v>37667</v>
      </c>
      <c r="I37" s="33" t="s">
        <v>72</v>
      </c>
    </row>
  </sheetData>
  <mergeCells count="17">
    <mergeCell ref="F5:F6"/>
    <mergeCell ref="H5:H6"/>
    <mergeCell ref="I5:I6"/>
    <mergeCell ref="B18:B19"/>
    <mergeCell ref="C18:C19"/>
    <mergeCell ref="D18:D19"/>
    <mergeCell ref="E18:E19"/>
    <mergeCell ref="F18:F19"/>
    <mergeCell ref="G18:G19"/>
    <mergeCell ref="H18:H19"/>
    <mergeCell ref="I18:I19"/>
    <mergeCell ref="B2:B6"/>
    <mergeCell ref="C2:D4"/>
    <mergeCell ref="E2:F4"/>
    <mergeCell ref="G2:H4"/>
    <mergeCell ref="C5:C6"/>
    <mergeCell ref="D5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1D62-29B4-40C6-A721-F044EADB497F}">
  <dimension ref="A1:M32"/>
  <sheetViews>
    <sheetView topLeftCell="D1" workbookViewId="0">
      <selection activeCell="L1" sqref="L1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11.42578125" bestFit="1" customWidth="1"/>
    <col min="4" max="4" width="18" bestFit="1" customWidth="1"/>
    <col min="5" max="5" width="15.42578125" bestFit="1" customWidth="1"/>
    <col min="6" max="6" width="17.42578125" bestFit="1" customWidth="1"/>
    <col min="7" max="7" width="17.42578125" customWidth="1"/>
    <col min="8" max="8" width="16.140625" bestFit="1" customWidth="1"/>
    <col min="9" max="9" width="15.42578125" bestFit="1" customWidth="1"/>
    <col min="10" max="10" width="21.140625" bestFit="1" customWidth="1"/>
    <col min="11" max="11" width="19.42578125" bestFit="1" customWidth="1"/>
    <col min="12" max="12" width="15.7109375" bestFit="1" customWidth="1"/>
    <col min="13" max="13" width="15" bestFit="1" customWidth="1"/>
  </cols>
  <sheetData>
    <row r="1" spans="1:13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</row>
    <row r="2" spans="1:13" ht="15.75" thickBot="1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99</v>
      </c>
      <c r="H2" t="s">
        <v>91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</row>
    <row r="3" spans="1:13" ht="29.25" thickBot="1" x14ac:dyDescent="0.3">
      <c r="A3" s="35">
        <v>189</v>
      </c>
      <c r="B3" s="36">
        <v>1805</v>
      </c>
      <c r="C3" s="36">
        <v>3017</v>
      </c>
      <c r="D3" s="37">
        <v>10</v>
      </c>
      <c r="E3">
        <f>MIN(40, A3)</f>
        <v>40</v>
      </c>
      <c r="F3">
        <f>INT(B3/A3)</f>
        <v>9</v>
      </c>
      <c r="G3">
        <f>F3*A3</f>
        <v>1701</v>
      </c>
      <c r="H3">
        <v>100</v>
      </c>
      <c r="I3">
        <v>0</v>
      </c>
      <c r="J3">
        <f>C3/(F3*A3)</f>
        <v>1.7736625514403292</v>
      </c>
      <c r="K3" s="15">
        <f>MAX(0, C3-G3)</f>
        <v>1316</v>
      </c>
      <c r="L3">
        <f>MIN(40, E3-1)</f>
        <v>39</v>
      </c>
      <c r="M3" s="35" t="s">
        <v>12</v>
      </c>
    </row>
    <row r="4" spans="1:13" ht="29.25" thickBot="1" x14ac:dyDescent="0.3">
      <c r="A4" s="38">
        <v>78</v>
      </c>
      <c r="B4" s="39">
        <v>195</v>
      </c>
      <c r="C4" s="39">
        <v>286</v>
      </c>
      <c r="D4" s="37">
        <v>10</v>
      </c>
      <c r="E4">
        <f t="shared" ref="E4:E31" si="0">MIN(40, A4)</f>
        <v>40</v>
      </c>
      <c r="F4">
        <f t="shared" ref="F4:F31" si="1">INT(B4/A4)</f>
        <v>2</v>
      </c>
      <c r="G4">
        <f t="shared" ref="G4:G31" si="2">F4*A4</f>
        <v>156</v>
      </c>
      <c r="H4">
        <v>100</v>
      </c>
      <c r="I4">
        <v>0</v>
      </c>
      <c r="J4">
        <f t="shared" ref="J4:J31" si="3">C4/(F4*A4)</f>
        <v>1.8333333333333333</v>
      </c>
      <c r="K4" s="15">
        <f t="shared" ref="K4:K31" si="4">MAX(0, C4-G4)</f>
        <v>130</v>
      </c>
      <c r="L4">
        <f t="shared" ref="L4:L31" si="5">MIN(40, E4-1)</f>
        <v>39</v>
      </c>
      <c r="M4" s="38" t="s">
        <v>13</v>
      </c>
    </row>
    <row r="5" spans="1:13" ht="16.5" thickBot="1" x14ac:dyDescent="0.3">
      <c r="A5" s="38">
        <v>14</v>
      </c>
      <c r="B5" s="39">
        <v>30</v>
      </c>
      <c r="C5" s="39">
        <v>299</v>
      </c>
      <c r="D5" s="37">
        <v>10</v>
      </c>
      <c r="E5">
        <f t="shared" si="0"/>
        <v>14</v>
      </c>
      <c r="F5">
        <f t="shared" si="1"/>
        <v>2</v>
      </c>
      <c r="G5">
        <f t="shared" si="2"/>
        <v>28</v>
      </c>
      <c r="H5">
        <v>100</v>
      </c>
      <c r="I5">
        <v>0</v>
      </c>
      <c r="J5">
        <f t="shared" si="3"/>
        <v>10.678571428571429</v>
      </c>
      <c r="K5" s="15">
        <f t="shared" si="4"/>
        <v>271</v>
      </c>
      <c r="L5">
        <f t="shared" si="5"/>
        <v>13</v>
      </c>
      <c r="M5" s="38" t="s">
        <v>14</v>
      </c>
    </row>
    <row r="6" spans="1:13" ht="29.25" thickBot="1" x14ac:dyDescent="0.3">
      <c r="A6" s="38">
        <v>292</v>
      </c>
      <c r="B6" s="40">
        <v>3068</v>
      </c>
      <c r="C6" s="40">
        <v>3753</v>
      </c>
      <c r="D6" s="37">
        <v>10</v>
      </c>
      <c r="E6">
        <f t="shared" si="0"/>
        <v>40</v>
      </c>
      <c r="F6">
        <f t="shared" si="1"/>
        <v>10</v>
      </c>
      <c r="G6">
        <f t="shared" si="2"/>
        <v>2920</v>
      </c>
      <c r="H6">
        <v>100</v>
      </c>
      <c r="I6">
        <v>0</v>
      </c>
      <c r="J6">
        <f t="shared" si="3"/>
        <v>1.2852739726027398</v>
      </c>
      <c r="K6" s="15">
        <f t="shared" si="4"/>
        <v>833</v>
      </c>
      <c r="L6">
        <f t="shared" si="5"/>
        <v>39</v>
      </c>
      <c r="M6" s="38" t="s">
        <v>15</v>
      </c>
    </row>
    <row r="7" spans="1:13" ht="29.25" thickBot="1" x14ac:dyDescent="0.3">
      <c r="A7" s="38">
        <v>817</v>
      </c>
      <c r="B7" s="40">
        <v>5357</v>
      </c>
      <c r="C7" s="40">
        <v>7337</v>
      </c>
      <c r="D7" s="37">
        <v>10</v>
      </c>
      <c r="E7">
        <f t="shared" si="0"/>
        <v>40</v>
      </c>
      <c r="F7">
        <f t="shared" si="1"/>
        <v>6</v>
      </c>
      <c r="G7">
        <f t="shared" si="2"/>
        <v>4902</v>
      </c>
      <c r="H7">
        <v>100</v>
      </c>
      <c r="I7">
        <v>0</v>
      </c>
      <c r="J7">
        <f t="shared" si="3"/>
        <v>1.496736026111791</v>
      </c>
      <c r="K7" s="15">
        <f t="shared" si="4"/>
        <v>2435</v>
      </c>
      <c r="L7">
        <f t="shared" si="5"/>
        <v>39</v>
      </c>
      <c r="M7" s="38" t="s">
        <v>16</v>
      </c>
    </row>
    <row r="8" spans="1:13" ht="43.5" thickBot="1" x14ac:dyDescent="0.3">
      <c r="A8" s="38">
        <v>758</v>
      </c>
      <c r="B8" s="40">
        <v>10941</v>
      </c>
      <c r="C8" s="40">
        <v>17131</v>
      </c>
      <c r="D8" s="37">
        <v>10</v>
      </c>
      <c r="E8">
        <f t="shared" si="0"/>
        <v>40</v>
      </c>
      <c r="F8">
        <f t="shared" si="1"/>
        <v>14</v>
      </c>
      <c r="G8">
        <f t="shared" si="2"/>
        <v>10612</v>
      </c>
      <c r="H8">
        <v>100</v>
      </c>
      <c r="I8">
        <v>0</v>
      </c>
      <c r="J8">
        <f t="shared" si="3"/>
        <v>1.6143045608744817</v>
      </c>
      <c r="K8" s="15">
        <f t="shared" si="4"/>
        <v>6519</v>
      </c>
      <c r="L8">
        <f t="shared" si="5"/>
        <v>39</v>
      </c>
      <c r="M8" s="38" t="s">
        <v>17</v>
      </c>
    </row>
    <row r="9" spans="1:13" ht="43.5" thickBot="1" x14ac:dyDescent="0.3">
      <c r="A9" s="38">
        <v>13</v>
      </c>
      <c r="B9" s="39">
        <v>34</v>
      </c>
      <c r="C9" s="39">
        <v>110</v>
      </c>
      <c r="D9" s="37">
        <v>10</v>
      </c>
      <c r="E9">
        <f t="shared" si="0"/>
        <v>13</v>
      </c>
      <c r="F9">
        <f t="shared" si="1"/>
        <v>2</v>
      </c>
      <c r="G9">
        <f t="shared" si="2"/>
        <v>26</v>
      </c>
      <c r="H9">
        <v>100</v>
      </c>
      <c r="I9">
        <v>0</v>
      </c>
      <c r="J9">
        <f t="shared" si="3"/>
        <v>4.2307692307692308</v>
      </c>
      <c r="K9" s="15">
        <f t="shared" si="4"/>
        <v>84</v>
      </c>
      <c r="L9">
        <f t="shared" si="5"/>
        <v>12</v>
      </c>
      <c r="M9" s="38" t="s">
        <v>18</v>
      </c>
    </row>
    <row r="10" spans="1:13" ht="29.25" thickBot="1" x14ac:dyDescent="0.3">
      <c r="A10" s="38">
        <v>79</v>
      </c>
      <c r="B10" s="39">
        <v>398</v>
      </c>
      <c r="C10" s="39">
        <v>599</v>
      </c>
      <c r="D10" s="37">
        <v>10</v>
      </c>
      <c r="E10">
        <f t="shared" si="0"/>
        <v>40</v>
      </c>
      <c r="F10">
        <f t="shared" si="1"/>
        <v>5</v>
      </c>
      <c r="G10">
        <f t="shared" si="2"/>
        <v>395</v>
      </c>
      <c r="H10">
        <v>100</v>
      </c>
      <c r="I10">
        <v>0</v>
      </c>
      <c r="J10">
        <f t="shared" si="3"/>
        <v>1.5164556962025317</v>
      </c>
      <c r="K10" s="15">
        <f t="shared" si="4"/>
        <v>204</v>
      </c>
      <c r="L10">
        <f t="shared" si="5"/>
        <v>39</v>
      </c>
      <c r="M10" s="38" t="s">
        <v>19</v>
      </c>
    </row>
    <row r="11" spans="1:13" ht="43.5" thickBot="1" x14ac:dyDescent="0.3">
      <c r="A11" s="38">
        <v>329</v>
      </c>
      <c r="B11" s="40">
        <v>1600</v>
      </c>
      <c r="C11" s="40">
        <v>5964</v>
      </c>
      <c r="D11" s="37">
        <v>10</v>
      </c>
      <c r="E11">
        <f t="shared" si="0"/>
        <v>40</v>
      </c>
      <c r="F11">
        <f t="shared" si="1"/>
        <v>4</v>
      </c>
      <c r="G11">
        <f t="shared" si="2"/>
        <v>1316</v>
      </c>
      <c r="H11">
        <v>100</v>
      </c>
      <c r="I11">
        <v>0</v>
      </c>
      <c r="J11">
        <f t="shared" si="3"/>
        <v>4.5319148936170217</v>
      </c>
      <c r="K11" s="15">
        <f t="shared" si="4"/>
        <v>4648</v>
      </c>
      <c r="L11">
        <f t="shared" si="5"/>
        <v>39</v>
      </c>
      <c r="M11" s="38" t="s">
        <v>20</v>
      </c>
    </row>
    <row r="12" spans="1:13" ht="29.25" thickBot="1" x14ac:dyDescent="0.3">
      <c r="A12" s="38">
        <v>91</v>
      </c>
      <c r="B12" s="39">
        <v>411</v>
      </c>
      <c r="C12" s="40">
        <v>2134</v>
      </c>
      <c r="D12" s="37">
        <v>10</v>
      </c>
      <c r="E12">
        <f t="shared" si="0"/>
        <v>40</v>
      </c>
      <c r="F12">
        <f t="shared" si="1"/>
        <v>4</v>
      </c>
      <c r="G12">
        <f t="shared" si="2"/>
        <v>364</v>
      </c>
      <c r="H12">
        <v>100</v>
      </c>
      <c r="I12">
        <v>0</v>
      </c>
      <c r="J12">
        <f t="shared" si="3"/>
        <v>5.8626373626373622</v>
      </c>
      <c r="K12" s="15">
        <f t="shared" si="4"/>
        <v>1770</v>
      </c>
      <c r="L12">
        <f t="shared" si="5"/>
        <v>39</v>
      </c>
      <c r="M12" s="38" t="s">
        <v>21</v>
      </c>
    </row>
    <row r="13" spans="1:13" ht="43.5" thickBot="1" x14ac:dyDescent="0.3">
      <c r="A13" s="38">
        <v>27</v>
      </c>
      <c r="B13" s="39">
        <v>52</v>
      </c>
      <c r="C13" s="39">
        <v>299</v>
      </c>
      <c r="D13" s="37">
        <v>10</v>
      </c>
      <c r="E13">
        <f t="shared" si="0"/>
        <v>27</v>
      </c>
      <c r="F13">
        <f t="shared" si="1"/>
        <v>1</v>
      </c>
      <c r="G13">
        <f t="shared" si="2"/>
        <v>27</v>
      </c>
      <c r="H13">
        <v>100</v>
      </c>
      <c r="I13">
        <v>0</v>
      </c>
      <c r="J13">
        <f t="shared" si="3"/>
        <v>11.074074074074074</v>
      </c>
      <c r="K13" s="15">
        <f t="shared" si="4"/>
        <v>272</v>
      </c>
      <c r="L13">
        <f t="shared" si="5"/>
        <v>26</v>
      </c>
      <c r="M13" s="38" t="s">
        <v>97</v>
      </c>
    </row>
    <row r="14" spans="1:13" ht="29.25" thickBot="1" x14ac:dyDescent="0.3">
      <c r="A14" s="38">
        <v>121</v>
      </c>
      <c r="B14" s="39">
        <v>268</v>
      </c>
      <c r="C14" s="39">
        <v>476</v>
      </c>
      <c r="D14" s="37">
        <v>10</v>
      </c>
      <c r="E14">
        <f t="shared" si="0"/>
        <v>40</v>
      </c>
      <c r="F14">
        <f t="shared" si="1"/>
        <v>2</v>
      </c>
      <c r="G14">
        <f t="shared" si="2"/>
        <v>242</v>
      </c>
      <c r="H14">
        <v>100</v>
      </c>
      <c r="I14">
        <v>0</v>
      </c>
      <c r="J14">
        <f t="shared" si="3"/>
        <v>1.9669421487603307</v>
      </c>
      <c r="K14" s="15">
        <f t="shared" si="4"/>
        <v>234</v>
      </c>
      <c r="L14">
        <f t="shared" si="5"/>
        <v>39</v>
      </c>
      <c r="M14" s="38" t="s">
        <v>24</v>
      </c>
    </row>
    <row r="15" spans="1:13" ht="16.5" thickBot="1" x14ac:dyDescent="0.3">
      <c r="A15" s="38">
        <v>159</v>
      </c>
      <c r="B15" s="39">
        <v>932</v>
      </c>
      <c r="C15" s="40">
        <v>1776</v>
      </c>
      <c r="D15" s="37">
        <v>10</v>
      </c>
      <c r="E15">
        <f t="shared" si="0"/>
        <v>40</v>
      </c>
      <c r="F15">
        <f t="shared" si="1"/>
        <v>5</v>
      </c>
      <c r="G15">
        <f t="shared" si="2"/>
        <v>795</v>
      </c>
      <c r="H15">
        <v>100</v>
      </c>
      <c r="I15">
        <v>0</v>
      </c>
      <c r="J15">
        <f t="shared" si="3"/>
        <v>2.2339622641509433</v>
      </c>
      <c r="K15" s="15">
        <f t="shared" si="4"/>
        <v>981</v>
      </c>
      <c r="L15">
        <f t="shared" si="5"/>
        <v>39</v>
      </c>
      <c r="M15" s="38" t="s">
        <v>25</v>
      </c>
    </row>
    <row r="16" spans="1:13" ht="29.25" thickBot="1" x14ac:dyDescent="0.3">
      <c r="A16" s="38">
        <v>295</v>
      </c>
      <c r="B16" s="40">
        <v>1587</v>
      </c>
      <c r="C16" s="40">
        <v>2151</v>
      </c>
      <c r="D16" s="37">
        <v>10</v>
      </c>
      <c r="E16">
        <f t="shared" si="0"/>
        <v>40</v>
      </c>
      <c r="F16">
        <f t="shared" si="1"/>
        <v>5</v>
      </c>
      <c r="G16">
        <f t="shared" si="2"/>
        <v>1475</v>
      </c>
      <c r="H16">
        <v>100</v>
      </c>
      <c r="I16">
        <v>0</v>
      </c>
      <c r="J16">
        <f t="shared" si="3"/>
        <v>1.4583050847457628</v>
      </c>
      <c r="K16" s="15">
        <f t="shared" si="4"/>
        <v>676</v>
      </c>
      <c r="L16">
        <f t="shared" si="5"/>
        <v>39</v>
      </c>
      <c r="M16" s="38" t="s">
        <v>26</v>
      </c>
    </row>
    <row r="17" spans="1:13" ht="29.25" thickBot="1" x14ac:dyDescent="0.3">
      <c r="A17" s="38">
        <v>216</v>
      </c>
      <c r="B17" s="39">
        <v>929</v>
      </c>
      <c r="C17" s="40">
        <v>1590</v>
      </c>
      <c r="D17" s="37">
        <v>10</v>
      </c>
      <c r="E17">
        <f t="shared" si="0"/>
        <v>40</v>
      </c>
      <c r="F17">
        <f t="shared" si="1"/>
        <v>4</v>
      </c>
      <c r="G17">
        <f t="shared" si="2"/>
        <v>864</v>
      </c>
      <c r="H17">
        <v>100</v>
      </c>
      <c r="I17">
        <v>0</v>
      </c>
      <c r="J17">
        <f t="shared" si="3"/>
        <v>1.8402777777777777</v>
      </c>
      <c r="K17" s="15">
        <f t="shared" si="4"/>
        <v>726</v>
      </c>
      <c r="L17">
        <f t="shared" si="5"/>
        <v>39</v>
      </c>
      <c r="M17" s="38" t="s">
        <v>27</v>
      </c>
    </row>
    <row r="18" spans="1:13" ht="16.5" thickBot="1" x14ac:dyDescent="0.3">
      <c r="A18" s="38">
        <v>139</v>
      </c>
      <c r="B18" s="39">
        <v>394</v>
      </c>
      <c r="C18" s="39">
        <v>552</v>
      </c>
      <c r="D18" s="37">
        <v>10</v>
      </c>
      <c r="E18">
        <f t="shared" si="0"/>
        <v>40</v>
      </c>
      <c r="F18">
        <f t="shared" si="1"/>
        <v>2</v>
      </c>
      <c r="G18">
        <f t="shared" si="2"/>
        <v>278</v>
      </c>
      <c r="H18">
        <v>100</v>
      </c>
      <c r="I18">
        <v>0</v>
      </c>
      <c r="J18">
        <f t="shared" si="3"/>
        <v>1.985611510791367</v>
      </c>
      <c r="K18" s="15">
        <f t="shared" si="4"/>
        <v>274</v>
      </c>
      <c r="L18">
        <f t="shared" si="5"/>
        <v>39</v>
      </c>
      <c r="M18" s="38" t="s">
        <v>28</v>
      </c>
    </row>
    <row r="19" spans="1:13" ht="16.5" thickBot="1" x14ac:dyDescent="0.3">
      <c r="A19" s="38">
        <v>175</v>
      </c>
      <c r="B19" s="39">
        <v>622</v>
      </c>
      <c r="C19" s="40">
        <v>1018</v>
      </c>
      <c r="D19" s="37">
        <v>10</v>
      </c>
      <c r="E19">
        <f t="shared" si="0"/>
        <v>40</v>
      </c>
      <c r="F19">
        <f t="shared" si="1"/>
        <v>3</v>
      </c>
      <c r="G19">
        <f t="shared" si="2"/>
        <v>525</v>
      </c>
      <c r="H19">
        <v>100</v>
      </c>
      <c r="I19">
        <v>0</v>
      </c>
      <c r="J19">
        <f t="shared" si="3"/>
        <v>1.9390476190476191</v>
      </c>
      <c r="K19" s="15">
        <f t="shared" si="4"/>
        <v>493</v>
      </c>
      <c r="L19">
        <f t="shared" si="5"/>
        <v>39</v>
      </c>
      <c r="M19" s="38" t="s">
        <v>29</v>
      </c>
    </row>
    <row r="20" spans="1:13" ht="29.25" thickBot="1" x14ac:dyDescent="0.3">
      <c r="A20" s="38">
        <v>250</v>
      </c>
      <c r="B20" s="40">
        <v>3135</v>
      </c>
      <c r="C20" s="40">
        <v>3998</v>
      </c>
      <c r="D20" s="37">
        <v>10</v>
      </c>
      <c r="E20">
        <f t="shared" si="0"/>
        <v>40</v>
      </c>
      <c r="F20">
        <f t="shared" si="1"/>
        <v>12</v>
      </c>
      <c r="G20">
        <f t="shared" si="2"/>
        <v>3000</v>
      </c>
      <c r="H20">
        <v>100</v>
      </c>
      <c r="I20">
        <v>0</v>
      </c>
      <c r="J20">
        <f t="shared" si="3"/>
        <v>1.3326666666666667</v>
      </c>
      <c r="K20" s="15">
        <f t="shared" si="4"/>
        <v>998</v>
      </c>
      <c r="L20">
        <f t="shared" si="5"/>
        <v>39</v>
      </c>
      <c r="M20" s="38" t="s">
        <v>30</v>
      </c>
    </row>
    <row r="21" spans="1:13" ht="29.25" thickBot="1" x14ac:dyDescent="0.3">
      <c r="A21" s="38">
        <v>12</v>
      </c>
      <c r="B21" s="39">
        <v>58</v>
      </c>
      <c r="C21" s="39">
        <v>601</v>
      </c>
      <c r="D21" s="37">
        <v>10</v>
      </c>
      <c r="E21">
        <f t="shared" si="0"/>
        <v>12</v>
      </c>
      <c r="F21">
        <f t="shared" si="1"/>
        <v>4</v>
      </c>
      <c r="G21">
        <f t="shared" si="2"/>
        <v>48</v>
      </c>
      <c r="H21">
        <v>100</v>
      </c>
      <c r="I21">
        <v>0</v>
      </c>
      <c r="J21">
        <f t="shared" si="3"/>
        <v>12.520833333333334</v>
      </c>
      <c r="K21" s="15">
        <f t="shared" si="4"/>
        <v>553</v>
      </c>
      <c r="L21">
        <f t="shared" si="5"/>
        <v>11</v>
      </c>
      <c r="M21" s="38" t="s">
        <v>31</v>
      </c>
    </row>
    <row r="22" spans="1:13" ht="43.5" thickBot="1" x14ac:dyDescent="0.3">
      <c r="A22" s="38">
        <v>55</v>
      </c>
      <c r="B22" s="39">
        <v>240</v>
      </c>
      <c r="C22" s="39">
        <v>782</v>
      </c>
      <c r="D22" s="37">
        <v>10</v>
      </c>
      <c r="E22">
        <f t="shared" si="0"/>
        <v>40</v>
      </c>
      <c r="F22">
        <f t="shared" si="1"/>
        <v>4</v>
      </c>
      <c r="G22">
        <f t="shared" si="2"/>
        <v>220</v>
      </c>
      <c r="H22">
        <v>100</v>
      </c>
      <c r="I22">
        <v>0</v>
      </c>
      <c r="J22">
        <f t="shared" si="3"/>
        <v>3.5545454545454547</v>
      </c>
      <c r="K22" s="15">
        <f t="shared" si="4"/>
        <v>562</v>
      </c>
      <c r="L22">
        <f t="shared" si="5"/>
        <v>39</v>
      </c>
      <c r="M22" s="38" t="s">
        <v>32</v>
      </c>
    </row>
    <row r="23" spans="1:13" ht="43.5" thickBot="1" x14ac:dyDescent="0.3">
      <c r="A23" s="38">
        <v>91</v>
      </c>
      <c r="B23" s="39">
        <v>221</v>
      </c>
      <c r="C23" s="39">
        <v>396</v>
      </c>
      <c r="D23" s="37">
        <v>10</v>
      </c>
      <c r="E23">
        <f t="shared" si="0"/>
        <v>40</v>
      </c>
      <c r="F23">
        <f t="shared" si="1"/>
        <v>2</v>
      </c>
      <c r="G23">
        <f t="shared" si="2"/>
        <v>182</v>
      </c>
      <c r="H23">
        <v>100</v>
      </c>
      <c r="I23">
        <v>0</v>
      </c>
      <c r="J23">
        <f t="shared" si="3"/>
        <v>2.1758241758241756</v>
      </c>
      <c r="K23" s="15">
        <f t="shared" si="4"/>
        <v>214</v>
      </c>
      <c r="L23">
        <f t="shared" si="5"/>
        <v>39</v>
      </c>
      <c r="M23" s="38" t="s">
        <v>33</v>
      </c>
    </row>
    <row r="24" spans="1:13" ht="16.5" thickBot="1" x14ac:dyDescent="0.3">
      <c r="A24" s="38">
        <v>404</v>
      </c>
      <c r="B24" s="40">
        <v>2388</v>
      </c>
      <c r="C24" s="40">
        <v>3278</v>
      </c>
      <c r="D24" s="37">
        <v>10</v>
      </c>
      <c r="E24">
        <f t="shared" si="0"/>
        <v>40</v>
      </c>
      <c r="F24">
        <f t="shared" si="1"/>
        <v>5</v>
      </c>
      <c r="G24">
        <f t="shared" si="2"/>
        <v>2020</v>
      </c>
      <c r="H24">
        <v>100</v>
      </c>
      <c r="I24">
        <v>0</v>
      </c>
      <c r="J24">
        <f t="shared" si="3"/>
        <v>1.6227722772277229</v>
      </c>
      <c r="K24" s="15">
        <f t="shared" si="4"/>
        <v>1258</v>
      </c>
      <c r="L24">
        <f t="shared" si="5"/>
        <v>39</v>
      </c>
      <c r="M24" s="38" t="s">
        <v>34</v>
      </c>
    </row>
    <row r="25" spans="1:13" ht="29.25" thickBot="1" x14ac:dyDescent="0.3">
      <c r="A25" s="38">
        <v>35</v>
      </c>
      <c r="B25" s="39">
        <v>151</v>
      </c>
      <c r="C25" s="40">
        <v>1108</v>
      </c>
      <c r="D25" s="37">
        <v>10</v>
      </c>
      <c r="E25">
        <f t="shared" si="0"/>
        <v>35</v>
      </c>
      <c r="F25">
        <f t="shared" si="1"/>
        <v>4</v>
      </c>
      <c r="G25">
        <f t="shared" si="2"/>
        <v>140</v>
      </c>
      <c r="H25">
        <v>100</v>
      </c>
      <c r="I25">
        <v>0</v>
      </c>
      <c r="J25">
        <f t="shared" si="3"/>
        <v>7.9142857142857146</v>
      </c>
      <c r="K25" s="15">
        <f t="shared" si="4"/>
        <v>968</v>
      </c>
      <c r="L25">
        <f t="shared" si="5"/>
        <v>34</v>
      </c>
      <c r="M25" s="38" t="s">
        <v>35</v>
      </c>
    </row>
    <row r="26" spans="1:13" ht="29.25" thickBot="1" x14ac:dyDescent="0.3">
      <c r="A26" s="38">
        <v>377</v>
      </c>
      <c r="B26" s="40">
        <v>1778</v>
      </c>
      <c r="C26" s="40">
        <v>3305</v>
      </c>
      <c r="D26" s="37">
        <v>10</v>
      </c>
      <c r="E26">
        <f t="shared" si="0"/>
        <v>40</v>
      </c>
      <c r="F26">
        <f t="shared" si="1"/>
        <v>4</v>
      </c>
      <c r="G26">
        <f t="shared" si="2"/>
        <v>1508</v>
      </c>
      <c r="H26">
        <v>100</v>
      </c>
      <c r="I26">
        <v>0</v>
      </c>
      <c r="J26">
        <f t="shared" si="3"/>
        <v>2.1916445623342176</v>
      </c>
      <c r="K26" s="15">
        <f t="shared" si="4"/>
        <v>1797</v>
      </c>
      <c r="L26">
        <f t="shared" si="5"/>
        <v>39</v>
      </c>
      <c r="M26" s="38" t="s">
        <v>36</v>
      </c>
    </row>
    <row r="27" spans="1:13" ht="43.5" thickBot="1" x14ac:dyDescent="0.3">
      <c r="A27" s="38">
        <v>261</v>
      </c>
      <c r="B27" s="40">
        <v>1194</v>
      </c>
      <c r="C27" s="40">
        <v>2229</v>
      </c>
      <c r="D27" s="37">
        <v>10</v>
      </c>
      <c r="E27">
        <f t="shared" si="0"/>
        <v>40</v>
      </c>
      <c r="F27">
        <f t="shared" si="1"/>
        <v>4</v>
      </c>
      <c r="G27">
        <f t="shared" si="2"/>
        <v>1044</v>
      </c>
      <c r="H27">
        <v>100</v>
      </c>
      <c r="I27">
        <v>0</v>
      </c>
      <c r="J27">
        <f t="shared" si="3"/>
        <v>2.1350574712643677</v>
      </c>
      <c r="K27" s="15">
        <f t="shared" si="4"/>
        <v>1185</v>
      </c>
      <c r="L27">
        <f t="shared" si="5"/>
        <v>39</v>
      </c>
      <c r="M27" s="38" t="s">
        <v>37</v>
      </c>
    </row>
    <row r="28" spans="1:13" ht="29.25" thickBot="1" x14ac:dyDescent="0.3">
      <c r="A28" s="38">
        <v>40</v>
      </c>
      <c r="B28" s="39">
        <v>54</v>
      </c>
      <c r="C28" s="39">
        <v>130</v>
      </c>
      <c r="D28" s="37">
        <v>10</v>
      </c>
      <c r="E28">
        <f t="shared" si="0"/>
        <v>40</v>
      </c>
      <c r="F28">
        <f t="shared" si="1"/>
        <v>1</v>
      </c>
      <c r="G28">
        <f t="shared" si="2"/>
        <v>40</v>
      </c>
      <c r="H28">
        <v>100</v>
      </c>
      <c r="I28">
        <v>0</v>
      </c>
      <c r="J28">
        <f t="shared" si="3"/>
        <v>3.25</v>
      </c>
      <c r="K28" s="15">
        <f t="shared" si="4"/>
        <v>90</v>
      </c>
      <c r="L28">
        <f t="shared" si="5"/>
        <v>39</v>
      </c>
      <c r="M28" s="38" t="s">
        <v>38</v>
      </c>
    </row>
    <row r="29" spans="1:13" ht="29.25" thickBot="1" x14ac:dyDescent="0.3">
      <c r="A29" s="38">
        <v>236</v>
      </c>
      <c r="B29" s="40">
        <v>1860</v>
      </c>
      <c r="C29" s="40">
        <v>5172</v>
      </c>
      <c r="D29" s="37">
        <v>10</v>
      </c>
      <c r="E29">
        <f t="shared" si="0"/>
        <v>40</v>
      </c>
      <c r="F29">
        <f t="shared" si="1"/>
        <v>7</v>
      </c>
      <c r="G29">
        <f t="shared" si="2"/>
        <v>1652</v>
      </c>
      <c r="H29">
        <v>100</v>
      </c>
      <c r="I29">
        <v>0</v>
      </c>
      <c r="J29">
        <f t="shared" si="3"/>
        <v>3.1307506053268765</v>
      </c>
      <c r="K29" s="15">
        <f t="shared" si="4"/>
        <v>3520</v>
      </c>
      <c r="L29">
        <f t="shared" si="5"/>
        <v>39</v>
      </c>
      <c r="M29" s="38" t="s">
        <v>39</v>
      </c>
    </row>
    <row r="30" spans="1:13" ht="29.25" thickBot="1" x14ac:dyDescent="0.3">
      <c r="A30" s="38">
        <v>77</v>
      </c>
      <c r="B30" s="39">
        <v>102</v>
      </c>
      <c r="C30" s="39">
        <v>172</v>
      </c>
      <c r="D30" s="37">
        <v>10</v>
      </c>
      <c r="E30">
        <f t="shared" si="0"/>
        <v>40</v>
      </c>
      <c r="F30">
        <f t="shared" si="1"/>
        <v>1</v>
      </c>
      <c r="G30">
        <f t="shared" si="2"/>
        <v>77</v>
      </c>
      <c r="H30">
        <v>100</v>
      </c>
      <c r="I30">
        <v>0</v>
      </c>
      <c r="J30">
        <f t="shared" si="3"/>
        <v>2.2337662337662336</v>
      </c>
      <c r="K30" s="15">
        <f t="shared" si="4"/>
        <v>95</v>
      </c>
      <c r="L30">
        <f t="shared" si="5"/>
        <v>39</v>
      </c>
      <c r="M30" s="38" t="s">
        <v>40</v>
      </c>
    </row>
    <row r="31" spans="1:13" ht="29.25" thickBot="1" x14ac:dyDescent="0.3">
      <c r="A31" s="38">
        <v>77</v>
      </c>
      <c r="B31" s="39">
        <v>102</v>
      </c>
      <c r="C31" s="39">
        <v>172</v>
      </c>
      <c r="D31" s="37">
        <v>10</v>
      </c>
      <c r="E31">
        <f t="shared" si="0"/>
        <v>40</v>
      </c>
      <c r="F31">
        <f t="shared" si="1"/>
        <v>1</v>
      </c>
      <c r="G31">
        <f t="shared" si="2"/>
        <v>77</v>
      </c>
      <c r="H31">
        <v>100</v>
      </c>
      <c r="I31">
        <v>0</v>
      </c>
      <c r="J31">
        <f t="shared" si="3"/>
        <v>2.2337662337662336</v>
      </c>
      <c r="K31" s="15">
        <f t="shared" si="4"/>
        <v>95</v>
      </c>
      <c r="L31">
        <f t="shared" si="5"/>
        <v>39</v>
      </c>
      <c r="M31" s="38" t="s">
        <v>40</v>
      </c>
    </row>
    <row r="32" spans="1:13" ht="15.75" x14ac:dyDescent="0.25">
      <c r="D32" s="37"/>
    </row>
  </sheetData>
  <phoneticPr fontId="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358ED7-B08F-4AB1-8591-EA0207EAB3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NRMP</vt:lpstr>
      <vt:lpstr>columns_constants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Ali</dc:creator>
  <cp:lastModifiedBy>Ayman Ali</cp:lastModifiedBy>
  <dcterms:created xsi:type="dcterms:W3CDTF">2015-06-05T18:17:20Z</dcterms:created>
  <dcterms:modified xsi:type="dcterms:W3CDTF">2026-01-08T15:55:16Z</dcterms:modified>
</cp:coreProperties>
</file>